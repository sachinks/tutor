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anual cases" sheetId="2" state="visible" r:id="rId4"/>
    <sheet name="Automated tests" sheetId="3" state="visible" r:id="rId5"/>
    <sheet name="Smoke checks" sheetId="4" state="visible" r:id="rId6"/>
    <sheet name="Traceability" sheetId="5" state="visible" r:id="rId7"/>
    <sheet name="Demo accounts" sheetId="6" state="visible" r:id="rId8"/>
    <sheet name="Bug log" sheetId="7" state="visible" r:id="rId9"/>
  </sheets>
  <definedNames>
    <definedName function="false" hidden="true" localSheetId="2" name="_xlnm._FilterDatabase" vbProcedure="false">'Automated tests'!$A$1:$G$186</definedName>
    <definedName function="false" hidden="true" localSheetId="6" name="_xlnm._FilterDatabase" vbProcedure="false">'Bug log'!$A$1:$L$2</definedName>
    <definedName function="false" hidden="true" localSheetId="5" name="_xlnm._FilterDatabase" vbProcedure="false">'Demo accounts'!$A$1:$F$20</definedName>
    <definedName function="false" hidden="true" localSheetId="1" name="_xlnm._FilterDatabase" vbProcedure="false">'Manual cases'!$A$1:$R$96</definedName>
    <definedName function="false" hidden="true" localSheetId="3" name="_xlnm._FilterDatabase" vbProcedure="false">'Smoke checks'!$A$1:$D$43</definedName>
    <definedName function="false" hidden="true" localSheetId="4" name="_xlnm._FilterDatabase" vbProcedure="false">Traceability!$A$1:$H$45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<sst xmlns="http://schemas.openxmlformats.org/spreadsheetml/2006/main" count="2747" uniqueCount="1493">
  <si>
    <t xml:space="preserve">TUTOR test suite</t>
  </si>
  <si>
    <t xml:space="preserve">Generated 2026-09-29 by backend/qa/build_test_suite.py</t>
  </si>
  <si>
    <t xml:space="preserve">Summary</t>
  </si>
  <si>
    <t xml:space="preserve">Manual cases</t>
  </si>
  <si>
    <t xml:space="preserve">Written in docs/testing/test-cases/*.md</t>
  </si>
  <si>
    <t xml:space="preserve">  Priority P1</t>
  </si>
  <si>
    <t xml:space="preserve">Must pass before any release</t>
  </si>
  <si>
    <t xml:space="preserve">  Priority P2</t>
  </si>
  <si>
    <t xml:space="preserve">  Priority P3</t>
  </si>
  <si>
    <t xml:space="preserve">  With automated coverage</t>
  </si>
  <si>
    <t xml:space="preserve">Automated tests exist too</t>
  </si>
  <si>
    <t xml:space="preserve">  Automated coverage %</t>
  </si>
  <si>
    <t xml:space="preserve">Share of manual cases also covered by automation</t>
  </si>
  <si>
    <t xml:space="preserve">Status: Pass</t>
  </si>
  <si>
    <t xml:space="preserve">Filled in by testers in 'Manual cases'</t>
  </si>
  <si>
    <t xml:space="preserve">Status: Fail</t>
  </si>
  <si>
    <t xml:space="preserve">Every Fail needs a Bug ID</t>
  </si>
  <si>
    <t xml:space="preserve">Status: Blocked</t>
  </si>
  <si>
    <t xml:space="preserve">Can't be run (environment, missing feature)</t>
  </si>
  <si>
    <t xml:space="preserve">Status: Not run</t>
  </si>
  <si>
    <t xml:space="preserve">Pass rate (of cases run)</t>
  </si>
  <si>
    <t xml:space="preserve">Pass ÷ (Pass + Fail + Blocked)</t>
  </si>
  <si>
    <t xml:space="preserve">Automated tests</t>
  </si>
  <si>
    <t xml:space="preserve">Django tests; run by ./dev.sh and CI</t>
  </si>
  <si>
    <t xml:space="preserve">Smoke checks</t>
  </si>
  <si>
    <t xml:space="preserve">Black-box checks over HTTP</t>
  </si>
  <si>
    <t xml:space="preserve">Requirements without a manual case</t>
  </si>
  <si>
    <t xml:space="preserve">Planned features show here until they are built</t>
  </si>
  <si>
    <t xml:space="preserve">How to use</t>
  </si>
  <si>
    <t xml:space="preserve">1</t>
  </si>
  <si>
    <t xml:space="preserve">Filter 'Manual cases' by Area or Priority, put your name in Assignee (yellow cells are yours to fill).</t>
  </si>
  <si>
    <t xml:space="preserve">2</t>
  </si>
  <si>
    <t xml:space="preserve">Run the case exactly as written. Accounts are in 'Demo accounts' and docs/testing/demo-data.md.</t>
  </si>
  <si>
    <t xml:space="preserve">3</t>
  </si>
  <si>
    <t xml:space="preserve">Set Status, Tested on and Build / commit. For every Fail, add a row in 'Bug log' and put its ID in Bug ID.</t>
  </si>
  <si>
    <t xml:space="preserve">4</t>
  </si>
  <si>
    <t xml:space="preserve">Don't edit case text here: change docs/testing/test-cases/*.md in a pull request, then rebuild.</t>
  </si>
  <si>
    <t xml:space="preserve">Statuses</t>
  </si>
  <si>
    <t xml:space="preserve">Not run · Pass · Fail · Blocked · N/A</t>
  </si>
  <si>
    <t xml:space="preserve">Environments</t>
  </si>
  <si>
    <t xml:space="preserve">Local = your machine with tester tools (dev outbox). Hosted = https://tutor-platform-ovlg.onrender.com</t>
  </si>
  <si>
    <t xml:space="preserve">Severity</t>
  </si>
  <si>
    <t xml:space="preserve">Critical: data leak, security or consent bypass · High: a P1 case fails · Medium: a P2 case fails · Low: cosmetic</t>
  </si>
  <si>
    <t xml:space="preserve">Rebuild</t>
  </si>
  <si>
    <t xml:space="preserve">From backend/: python qa/build_test_suite.py (also validates the automation map)</t>
  </si>
  <si>
    <t xml:space="preserve">ID</t>
  </si>
  <si>
    <t xml:space="preserve">Area</t>
  </si>
  <si>
    <t xml:space="preserve">Section</t>
  </si>
  <si>
    <t xml:space="preserve">Title</t>
  </si>
  <si>
    <t xml:space="preserve">Priority</t>
  </si>
  <si>
    <t xml:space="preserve">Requirements</t>
  </si>
  <si>
    <t xml:space="preserve">Environment</t>
  </si>
  <si>
    <t xml:space="preserve">Preconditions / accounts</t>
  </si>
  <si>
    <t xml:space="preserve">Steps</t>
  </si>
  <si>
    <t xml:space="preserve">Expected result</t>
  </si>
  <si>
    <t xml:space="preserve">Automated by</t>
  </si>
  <si>
    <t xml:space="preserve">Assignee</t>
  </si>
  <si>
    <t xml:space="preserve">Status</t>
  </si>
  <si>
    <t xml:space="preserve">Tested on</t>
  </si>
  <si>
    <t xml:space="preserve">Build / commit</t>
  </si>
  <si>
    <t xml:space="preserve">Bug ID</t>
  </si>
  <si>
    <t xml:space="preserve">Notes</t>
  </si>
  <si>
    <t xml:space="preserve">TC-SET-1</t>
  </si>
  <si>
    <t xml:space="preserve">Accounts &amp; consent</t>
  </si>
  <si>
    <t xml:space="preserve">Setup</t>
  </si>
  <si>
    <t xml:space="preserve">Health check</t>
  </si>
  <si>
    <t xml:space="preserve">P1</t>
  </si>
  <si>
    <t xml:space="preserve">NFR-AVAIL-1</t>
  </si>
  <si>
    <t xml:space="preserve">Local</t>
  </si>
  <si>
    <t xml:space="preserve">`GET /health`.</t>
  </si>
  <si>
    <t xml:space="preserve">`200 {"ok": true, "db": true}`.</t>
  </si>
  <si>
    <t xml:space="preserve">apps.accounts.tests.HealthTests.test_health
apps.accounts.tests.HealthTests.test_health_is_503_when_the_database_is_unreachable
hosted:H1</t>
  </si>
  <si>
    <t xml:space="preserve">Not run</t>
  </si>
  <si>
    <t xml:space="preserve">TC-SET-2</t>
  </si>
  <si>
    <t xml:space="preserve">Smoke test passes</t>
  </si>
  <si>
    <t xml:space="preserve">run `python qa/smoke_test.py`.</t>
  </si>
  <si>
    <t xml:space="preserve">every line `PASS`, last line `N/N checks passed`.</t>
  </si>
  <si>
    <t xml:space="preserve">smoke:S0</t>
  </si>
  <si>
    <t xml:space="preserve">TC-SET-3</t>
  </si>
  <si>
    <t xml:space="preserve">Logged-in POST works from the docs page</t>
  </si>
  <si>
    <t xml:space="preserve">NFR-SEC-2</t>
  </si>
  <si>
    <t xml:space="preserve">logged in as `student_enrolled` via `POST /auth/login` in the docs page, then page reloaded (Ctrl+F5).</t>
  </si>
  <si>
    <t xml:space="preserve">`POST /lessons/{id}/finish` for any AI Foundations lesson.</t>
  </si>
  <si>
    <t xml:space="preserve">`200`. A `403` mentioning CSRF is a High bug.</t>
  </si>
  <si>
    <t xml:space="preserve">apps.accounts.test_api.SecureByDefaultTests.test_docs_page_sends_csrf_token</t>
  </si>
  <si>
    <t xml:space="preserve">TC-ACC-01</t>
  </si>
  <si>
    <t xml:space="preserve">Sign-up and login</t>
  </si>
  <si>
    <t xml:space="preserve">Student sign-up</t>
  </si>
  <si>
    <t xml:space="preserve">FR-ACC-1, FR-ACC-4</t>
  </si>
  <si>
    <t xml:space="preserve">`POST /auth/signup/student` with name, mobile `98xxxxxxxx` (new), password, `class_number: 8`, `board_code: "CBSE"`, city, `parent_contact` (another new mobile).</t>
  </si>
  <si>
    <t xml:space="preserve">`201`; `mobile` returned as `+9198…`; `student.status = "awaiting_consent"`; outbox for the parent has an `/approve/&lt;token&gt;` link; outbox for the student has a 6-digit code.</t>
  </si>
  <si>
    <t xml:space="preserve">apps.accounts.test_api.SignupAndApprovalFlow.test_student_signup_waits_for_parent
smoke:A1</t>
  </si>
  <si>
    <t xml:space="preserve">TC-ACC-02</t>
  </si>
  <si>
    <t xml:space="preserve">Parent sign-up and contact verification</t>
  </si>
  <si>
    <t xml:space="preserve">FR-ACC-2</t>
  </si>
  <si>
    <t xml:space="preserve">`POST /auth/signup/parent`; read the code from the outbox; `POST /auth/otp/verify` with `purpose: "verify_contact"`.</t>
  </si>
  <si>
    <t xml:space="preserve">`201` then `200` with `mobile_verified: true`.</t>
  </si>
  <si>
    <t xml:space="preserve">apps.accounts.test_api.SignupAndApprovalFlow.test_full_approval
smoke:A5</t>
  </si>
  <si>
    <t xml:space="preserve">TC-ACC-03</t>
  </si>
  <si>
    <t xml:space="preserve">Duplicate sign-up refused</t>
  </si>
  <si>
    <t xml:space="preserve">FR-ACC-1</t>
  </si>
  <si>
    <t xml:space="preserve">repeat TC-ACC-01 with the same mobile.</t>
  </si>
  <si>
    <t xml:space="preserve">`409`, `code: "already_registered"`.</t>
  </si>
  <si>
    <t xml:space="preserve">apps.accounts.test_api.LoginAndErrors.test_duplicate_signup</t>
  </si>
  <si>
    <t xml:space="preserve">TC-ACC-04</t>
  </si>
  <si>
    <t xml:space="preserve">Validation errors</t>
  </si>
  <si>
    <t xml:space="preserve">P2</t>
  </si>
  <si>
    <t xml:space="preserve">sign up with (a) no email and no mobile, (b) `class_number: 13`, (c) `board_code: "XYZ"`, (d) password `12345678`, (e) parent contact equal to the student's own.</t>
  </si>
  <si>
    <t xml:space="preserve">`400`, `code: "validation_error"`, the offending field named in `fields` (or `non_field` for (a)).</t>
  </si>
  <si>
    <t xml:space="preserve">apps.accounts.test_api.LoginAndErrors.test_validation_error_format</t>
  </si>
  <si>
    <t xml:space="preserve">TC-ACC-05</t>
  </si>
  <si>
    <t xml:space="preserve">Login with email, 10-digit mobile and +91 mobile</t>
  </si>
  <si>
    <t xml:space="preserve">`POST /auth/login` as `student_enrolled` using `esha@test.tutor`, `9000000003` and `+919000000003`.</t>
  </si>
  <si>
    <t xml:space="preserve">`200` each time; `GET /me` returns Esha.</t>
  </si>
  <si>
    <t xml:space="preserve">apps.accounts.test_api.LoginAndErrors.test_login_with_plain_10_digit_mobile
apps.accounts.tests.LoginTests.test_login_with_email
apps.accounts.tests.LoginTests.test_login_with_mobile</t>
  </si>
  <si>
    <t xml:space="preserve">TC-ACC-06</t>
  </si>
  <si>
    <t xml:space="preserve">Wrong password</t>
  </si>
  <si>
    <t xml:space="preserve">`POST /auth/login` as `esha@test.tutor` with a wrong password, then with `nobody@test.tutor`.</t>
  </si>
  <si>
    <t xml:space="preserve">`400`, `code: "invalid_credentials"`; message doesn't reveal whether the account exists.</t>
  </si>
  <si>
    <t xml:space="preserve">apps.accounts.test_api.LoginAndErrors.test_wrong_password
hosted:X4</t>
  </si>
  <si>
    <t xml:space="preserve">TC-ACC-07</t>
  </si>
  <si>
    <t xml:space="preserve">Logout</t>
  </si>
  <si>
    <t xml:space="preserve">`POST /auth/logout`, then `GET /me`.</t>
  </si>
  <si>
    <t xml:space="preserve">`200`, then `401 not_authenticated`.</t>
  </si>
  <si>
    <t xml:space="preserve">TC-ACC-08</t>
  </si>
  <si>
    <t xml:space="preserve">Password reset</t>
  </si>
  <si>
    <t xml:space="preserve">`POST /auth/otp/send` (`purpose: "reset_password"`) for `9000000002`; take the code from the outbox; `POST /auth/password/reset` with a new strong password; log in with it. Afterwards run `seed_test_accounts` to restore.</t>
  </si>
  <si>
    <t xml:space="preserve">`200`, `200`, login succeeds with the new password and fails with the old one.</t>
  </si>
  <si>
    <t xml:space="preserve">apps.accounts.test_api.LoginAndErrors.test_password_reset</t>
  </si>
  <si>
    <t xml:space="preserve">TC-ACC-09</t>
  </si>
  <si>
    <t xml:space="preserve">Codes: expiry, attempts, rate limit</t>
  </si>
  <si>
    <t xml:space="preserve">(a) verify with a wrong code 5 times, then the right one; (b) request 6 codes within 10 minutes for one contact.</t>
  </si>
  <si>
    <t xml:space="preserve">(a) all fail with `invalid_code`, and the right code also fails after 5 wrong tries; (b) 6th request `429 limit_reached`.</t>
  </si>
  <si>
    <t xml:space="preserve">apps.accounts.test_security.RateLimitTests.test_one_time_code_endpoints_are_rate_limited</t>
  </si>
  <si>
    <t xml:space="preserve">TC-ACC-10</t>
  </si>
  <si>
    <t xml:space="preserve">No code for unknown contacts</t>
  </si>
  <si>
    <t xml:space="preserve">FR-ACC-3</t>
  </si>
  <si>
    <t xml:space="preserve">`POST /auth/otp/send` for an unregistered number.</t>
  </si>
  <si>
    <t xml:space="preserve">`200` with the generic message; outbox has no message for that number.</t>
  </si>
  <si>
    <t xml:space="preserve">apps.accounts.test_api.LoginAndErrors.test_otp_not_sent_to_unknown_contact</t>
  </si>
  <si>
    <t xml:space="preserve">TC-CON-01</t>
  </si>
  <si>
    <t xml:space="preserve">Parent approval</t>
  </si>
  <si>
    <t xml:space="preserve">Approval link details</t>
  </si>
  <si>
    <t xml:space="preserve">FR-ACC-4</t>
  </si>
  <si>
    <t xml:space="preserve">TC-ACC-01 done.</t>
  </si>
  <si>
    <t xml:space="preserve">`GET /consent/link/&lt;token&gt;`.</t>
  </si>
  <si>
    <t xml:space="preserve">`200`: child's first name only, class label, consent text and version.</t>
  </si>
  <si>
    <t xml:space="preserve">smoke:A6</t>
  </si>
  <si>
    <t xml:space="preserve">TC-CON-02</t>
  </si>
  <si>
    <t xml:space="preserve">Approve</t>
  </si>
  <si>
    <t xml:space="preserve">FR-ACC-4, FR-ACC-5</t>
  </si>
  <si>
    <t xml:space="preserve">verified parent logged in (TC-ACC-02).</t>
  </si>
  <si>
    <t xml:space="preserve">`POST /consent/link/&lt;token&gt;/approve` `{"relationship": "mother", "accept": true}`.</t>
  </si>
  <si>
    <t xml:space="preserve">`200`; student's `GET /me` shows `status: "active"`; parent's `GET /me` lists the child; Admin → Consent records shows a record with text version and IP; Admin → Audit log shows `consent.given`.</t>
  </si>
  <si>
    <t xml:space="preserve">apps.accounts.test_api.SignupAndApprovalFlow.test_full_approval
smoke:A7
smoke:A8</t>
  </si>
  <si>
    <t xml:space="preserve">TC-CON-03</t>
  </si>
  <si>
    <t xml:space="preserve">Unverified parent can't approve</t>
  </si>
  <si>
    <t xml:space="preserve">new parent signs up but doesn't verify, then approves.</t>
  </si>
  <si>
    <t xml:space="preserve">`403 contact_not_verified`.</t>
  </si>
  <si>
    <t xml:space="preserve">apps.accounts.test_api.SignupAndApprovalFlow.test_parent_must_verify_contact_first</t>
  </si>
  <si>
    <t xml:space="preserve">TC-CON-04</t>
  </si>
  <si>
    <t xml:space="preserve">Consent box must be ticked</t>
  </si>
  <si>
    <t xml:space="preserve">approve with `accept: false`.</t>
  </si>
  <si>
    <t xml:space="preserve">`400 validation_error`, field `accept`.</t>
  </si>
  <si>
    <t xml:space="preserve">TC-CON-05</t>
  </si>
  <si>
    <t xml:space="preserve">Link is single-use</t>
  </si>
  <si>
    <t xml:space="preserve">approve twice.</t>
  </si>
  <si>
    <t xml:space="preserve">second call `410 link_expired`.</t>
  </si>
  <si>
    <t xml:space="preserve">TC-CON-06</t>
  </si>
  <si>
    <t xml:space="preserve">"Not my child"</t>
  </si>
  <si>
    <t xml:space="preserve">`POST /consent/link/&lt;token&gt;/report` (logged out is fine); then `GET` the link.</t>
  </si>
  <si>
    <t xml:space="preserve">`200`, then `410`; Admin → Approval requests shows status `reported`.</t>
  </si>
  <si>
    <t xml:space="preserve">apps.accounts.test_api.SignupAndApprovalFlow.test_not_my_child</t>
  </si>
  <si>
    <t xml:space="preserve">TC-CON-07</t>
  </si>
  <si>
    <t xml:space="preserve">Resend limit</t>
  </si>
  <si>
    <t xml:space="preserve">logged in as a waiting student.</t>
  </si>
  <si>
    <t xml:space="preserve">`POST /consent/requests/resend` three times.</t>
  </si>
  <si>
    <t xml:space="preserve">first two `200` (a new link each time; the old link stops working), third `429 limit_reached`.</t>
  </si>
  <si>
    <t xml:space="preserve">apps.accounts.test_api.SignupAndApprovalFlow.test_resend_limit</t>
  </si>
  <si>
    <t xml:space="preserve">TC-CON-08</t>
  </si>
  <si>
    <t xml:space="preserve">Change parent contact</t>
  </si>
  <si>
    <t xml:space="preserve">`PATCH /consent/requests/parent-contact` with a new email.</t>
  </si>
  <si>
    <t xml:space="preserve">`200`; outbox for that email has a link; the previous link returns `410`.</t>
  </si>
  <si>
    <t xml:space="preserve">apps.accounts.test_api.SignupAndApprovalFlow.test_change_parent_contact</t>
  </si>
  <si>
    <t xml:space="preserve">TC-CON-09</t>
  </si>
  <si>
    <t xml:space="preserve">Second guardian refused (v1)</t>
  </si>
  <si>
    <t xml:space="preserve">FR-ACC-6</t>
  </si>
  <si>
    <t xml:space="preserve">a student already approved by parent A.</t>
  </si>
  <si>
    <t xml:space="preserve">a second verified parent tries to approve a new link for the same student.</t>
  </si>
  <si>
    <t xml:space="preserve">`409 already_has_guardian`.</t>
  </si>
  <si>
    <t xml:space="preserve">apps.accounts.tests.GuardianConsentTests.test_only_one_active_primary_guardian</t>
  </si>
  <si>
    <t xml:space="preserve">TC-CON-10</t>
  </si>
  <si>
    <t xml:space="preserve">Parent adds a child directly</t>
  </si>
  <si>
    <t xml:space="preserve">as `parent`, `POST /parent/children` with name, own email for the child, password, class 10, `ICSE`, city.</t>
  </si>
  <si>
    <t xml:space="preserve">`201`, status `active`; the child can log in and open a free lesson.</t>
  </si>
  <si>
    <t xml:space="preserve">apps.accounts.test_api.ParentManagesChildren.test_add_child_withdraw_and_restore</t>
  </si>
  <si>
    <t xml:space="preserve">TC-CON-11</t>
  </si>
  <si>
    <t xml:space="preserve">Withdraw and restore consent</t>
  </si>
  <si>
    <t xml:space="preserve">FR-ACC-7</t>
  </si>
  <si>
    <t xml:space="preserve">as `parent`, withdraw for Asha; as Asha open a lesson; parent restores; Asha opens the lesson again.</t>
  </si>
  <si>
    <t xml:space="preserve">`200`; `403 consent_required`; `200`; `200`. Audit log shows `consent.withdrawn` and `consent.restored`.</t>
  </si>
  <si>
    <t xml:space="preserve">apps.accounts.test_api.ParentManagesChildren.test_add_child_withdraw_and_restore
smoke:P1
smoke:P2
smoke:P3
smoke:P4</t>
  </si>
  <si>
    <t xml:space="preserve">TC-ADM-01</t>
  </si>
  <si>
    <t xml:space="preserve">Admin</t>
  </si>
  <si>
    <t xml:space="preserve">Users list and search</t>
  </si>
  <si>
    <t xml:space="preserve">in `/admin/` → Users, search for `Kabir`, `rahul@test.tutor` and `9000000022`; filter by account type *Parent*.</t>
  </si>
  <si>
    <t xml:space="preserve">search by name, email or mobile finds the test accounts; filter by account type works.</t>
  </si>
  <si>
    <t xml:space="preserve">TC-ADM-02</t>
  </si>
  <si>
    <t xml:space="preserve">Create a user in admin</t>
  </si>
  <si>
    <t xml:space="preserve">add a user with only a mobile.</t>
  </si>
  <si>
    <t xml:space="preserve">saved. Adding a user with neither email nor mobile is refused.</t>
  </si>
  <si>
    <t xml:space="preserve">TC-ADM-03</t>
  </si>
  <si>
    <t xml:space="preserve">Grant an entitlement</t>
  </si>
  <si>
    <t xml:space="preserve">follow the tester guide §4.</t>
  </si>
  <si>
    <t xml:space="preserve">the student can open paid lessons immediately.</t>
  </si>
  <si>
    <t xml:space="preserve">TC-ADM-04</t>
  </si>
  <si>
    <t xml:space="preserve">Publish content</t>
  </si>
  <si>
    <t xml:space="preserve">FR-CON-3</t>
  </si>
  <si>
    <t xml:space="preserve">create a new content version for *What is data?* with status `approved`, a reviewer different from the author, edited body. Use the list action Publish selected approved versions.</t>
  </si>
  <si>
    <t xml:space="preserve">the new version becomes `published`; the old one becomes `archived`; `GET /lessons/&lt;id&gt;` shows the new text; audit log `content.published`.</t>
  </si>
  <si>
    <t xml:space="preserve">apps.content.tests.AdminPublishingTests.test_lead_publishes_and_it_is_audited
apps.catalogue.tests.ContentVersionTests.test_publishing_archives_previous</t>
  </si>
  <si>
    <t xml:space="preserve">TC-ADM-05</t>
  </si>
  <si>
    <t xml:space="preserve">Publishing a draft is refused</t>
  </si>
  <si>
    <t xml:space="preserve">select a `draft` version and run the publish action.</t>
  </si>
  <si>
    <t xml:space="preserve">warning message; nothing changes.</t>
  </si>
  <si>
    <t xml:space="preserve">apps.catalogue.tests.ContentVersionTests.test_only_approved_can_be_published</t>
  </si>
  <si>
    <t xml:space="preserve">TC-ADM-06</t>
  </si>
  <si>
    <t xml:space="preserve">Publish a question version</t>
  </si>
  <si>
    <t xml:space="preserve">same as TC-ADM-04 under Assessment → Question versions.</t>
  </si>
  <si>
    <t xml:space="preserve">new quizzes use the new wording; attempts already started keep the old version.</t>
  </si>
  <si>
    <t xml:space="preserve">apps.content.tests.AdminPublishingTests.test_question_publish_action</t>
  </si>
  <si>
    <t xml:space="preserve">TC-ADM-07</t>
  </si>
  <si>
    <t xml:space="preserve">Roles</t>
  </si>
  <si>
    <t xml:space="preserve">FR-ACC-9</t>
  </si>
  <si>
    <t xml:space="preserve">as the superuser add a role grant (reviewer, AI Foundations) to a user; add the same active grant again.</t>
  </si>
  <si>
    <t xml:space="preserve">first save sets *Granted by* to you and writes audit `role.granted`; second save refused. There is no delete: revoke by setting *Revoked at* (audit `role.revoked`).</t>
  </si>
  <si>
    <t xml:space="preserve">apps.content.tests.RoleAdminTests.test_granting_a_role_is_recorded
apps.accounts.tests.RoleTests.test_no_duplicate_active_grant</t>
  </si>
  <si>
    <t xml:space="preserve">TC-ADM-09</t>
  </si>
  <si>
    <t xml:space="preserve">Curriculum lead publishes only their own subject</t>
  </si>
  <si>
    <t xml:space="preserve">log in to `/admin/` as Lalit (`lalit@test.tutor`). Publish an approved AI Foundations content version. Then, as the superuser, create a Class 8 maths course with a lesson and an approved version; as Lalit try to publish it.</t>
  </si>
  <si>
    <t xml:space="preserve">the first publishes (audit `content.published`, actor Lalit); the second is refused with a warning.</t>
  </si>
  <si>
    <t xml:space="preserve">apps.content.tests.PublishPermissionTests.test_lead_for_subject_and_class
apps.content.tests.AdminPublishingTests.test_staff_without_role_is_refused</t>
  </si>
  <si>
    <t xml:space="preserve">TC-ADM-10</t>
  </si>
  <si>
    <t xml:space="preserve">Status can't be set to published by hand</t>
  </si>
  <si>
    <t xml:space="preserve">open an approved content version, change *Status* to `published` and save. Also open a published one and change it to `draft`.</t>
  </si>
  <si>
    <t xml:space="preserve">both refused with "Published and archived are set only by the … action".</t>
  </si>
  <si>
    <t xml:space="preserve">apps.content.tests.AdminPublishingTests.test_status_cannot_be_typed_in_as_published
apps.content.tests.AdminPublishingTests.test_published_status_cannot_be_changed_back_in_the_form</t>
  </si>
  <si>
    <t xml:space="preserve">TC-ADM-08</t>
  </si>
  <si>
    <t xml:space="preserve">Mastery and progress are visible</t>
  </si>
  <si>
    <t xml:space="preserve">P3</t>
  </si>
  <si>
    <t xml:space="preserve">in `/admin/` open Learning → Mastery states, Mastery events, Lesson progress and Course completions; try to edit a mastery event.</t>
  </si>
  <si>
    <t xml:space="preserve">Learning → Mastery states, Mastery events, Lesson progress, Course completions show the smoke-test student's data; mastery events can't be edited.</t>
  </si>
  <si>
    <t xml:space="preserve">TC-CAT-01</t>
  </si>
  <si>
    <t xml:space="preserve">Catalogue</t>
  </si>
  <si>
    <t xml:space="preserve">Facets</t>
  </si>
  <si>
    <t xml:space="preserve">FR-CAT-2</t>
  </si>
  <si>
    <t xml:space="preserve">`GET /catalogue/facets`.</t>
  </si>
  <si>
    <t xml:space="preserve">classes 6–12; boards CBSE, ICSE, WBBSE; 5 path stages; disciplines with subjects.</t>
  </si>
  <si>
    <t xml:space="preserve">apps.catalogue.tests.CatalogueApiTests.test_facets</t>
  </si>
  <si>
    <t xml:space="preserve">TC-CAT-02</t>
  </si>
  <si>
    <t xml:space="preserve">Items list shows only published</t>
  </si>
  <si>
    <t xml:space="preserve">in admin, create a course with status `draft`.</t>
  </si>
  <si>
    <t xml:space="preserve">`GET /catalogue/items`.</t>
  </si>
  <si>
    <t xml:space="preserve">AI Foundations and "Explore AI (Class 8)" listed; the draft course not listed.</t>
  </si>
  <si>
    <t xml:space="preserve">apps.catalogue.tests.CatalogueApiTests.test_items_lists_published_only
smoke:C1
hosted:C1</t>
  </si>
  <si>
    <t xml:space="preserve">TC-CAT-03</t>
  </si>
  <si>
    <t xml:space="preserve">Filters</t>
  </si>
  <si>
    <t xml:space="preserve">`?type=course`, `?class_number=8`, `?board=icse`, `?subject=ai-foundations`, `?stage=2`.</t>
  </si>
  <si>
    <t xml:space="preserve">board-independent courses (AI Foundations) appear for any class or board; `type=course` excludes programmes.</t>
  </si>
  <si>
    <t xml:space="preserve">apps.catalogue.tests.CatalogueApiTests.test_board_filter_keeps_board_independent_courses
apps.catalogue.tests.CatalogueApiTests.test_class_filter</t>
  </si>
  <si>
    <t xml:space="preserve">TC-CAT-04</t>
  </si>
  <si>
    <t xml:space="preserve">Pagination</t>
  </si>
  <si>
    <t xml:space="preserve">`?page_size=1&amp;page=2`.</t>
  </si>
  <si>
    <t xml:space="preserve">one result; `page: 2`; `total` equals the unpaginated count. `page_size=500` is capped at 50.</t>
  </si>
  <si>
    <t xml:space="preserve">apps.catalogue.tests.CatalogueApiTests.test_pagination
apps.catalogue.test_queries.CatalogueQueryTests.test_items_are_paginated_in_the_database</t>
  </si>
  <si>
    <t xml:space="preserve">TC-CAT-05</t>
  </si>
  <si>
    <t xml:space="preserve">Course page</t>
  </si>
  <si>
    <t xml:space="preserve">`GET /courses/ai-foundations`.</t>
  </si>
  <si>
    <t xml:space="preserve">3 lessons, all `is_free: true` and `has_content: true`; 4 skills; `path_stage_label: "Explore"`; `price_paise: 49900`.</t>
  </si>
  <si>
    <t xml:space="preserve">apps.catalogue.tests.CatalogueApiTests.test_course_detail
smoke:C2
hosted:C2</t>
  </si>
  <si>
    <t xml:space="preserve">TC-CAT-06</t>
  </si>
  <si>
    <t xml:space="preserve">Unknown or draft course</t>
  </si>
  <si>
    <t xml:space="preserve">`GET /courses/does-not-exist`, then `GET /courses/biology-class-12` (a draft course).</t>
  </si>
  <si>
    <t xml:space="preserve">`404 not_found` for a wrong slug and for a draft course's slug.</t>
  </si>
  <si>
    <t xml:space="preserve">apps.catalogue.tests.CatalogueApiTests.test_draft_course_is_404
hosted:C5</t>
  </si>
  <si>
    <t xml:space="preserve">TC-CAT-07</t>
  </si>
  <si>
    <t xml:space="preserve">Programme page</t>
  </si>
  <si>
    <t xml:space="preserve">`GET /programmes/explore-ai-class-8`.</t>
  </si>
  <si>
    <t xml:space="preserve">class 8; courses list contains AI Foundations with its price.</t>
  </si>
  <si>
    <t xml:space="preserve">apps.catalogue.tests.CatalogueApiTests.test_programme_detail</t>
  </si>
  <si>
    <t xml:space="preserve">TC-CAT-08</t>
  </si>
  <si>
    <t xml:space="preserve">Free preview</t>
  </si>
  <si>
    <t xml:space="preserve">FR-CAT-3</t>
  </si>
  <si>
    <t xml:space="preserve">`GET /lessons/&lt;first lesson id&gt;/preview`.</t>
  </si>
  <si>
    <t xml:space="preserve">`200` with sections; no quiz, no tutor.</t>
  </si>
  <si>
    <t xml:space="preserve">apps.catalogue.tests.CatalogueApiTests.test_free_lesson_preview
hosted:C4</t>
  </si>
  <si>
    <t xml:space="preserve">TC-CAT-09</t>
  </si>
  <si>
    <t xml:space="preserve">Preview of a paid lesson refused</t>
  </si>
  <si>
    <t xml:space="preserve">in admin add a second module (not free) to AI Foundations with one lesson.</t>
  </si>
  <si>
    <t xml:space="preserve">preview that lesson.</t>
  </si>
  <si>
    <t xml:space="preserve">`403 not_entitled`.</t>
  </si>
  <si>
    <t xml:space="preserve">apps.catalogue.tests.CatalogueApiTests.test_paid_lesson_preview_is_blocked</t>
  </si>
  <si>
    <t xml:space="preserve">TC-HOST-01</t>
  </si>
  <si>
    <t xml:space="preserve">Demo world &amp; hosted</t>
  </si>
  <si>
    <t xml:space="preserve">Hosted demo</t>
  </si>
  <si>
    <t xml:space="preserve">Hosted smoke checks</t>
  </si>
  <si>
    <t xml:space="preserve">Hosted</t>
  </si>
  <si>
    <t xml:space="preserve">from `backend/`, `python qa/smoke_test.py --hosted --base https://tutor-platform-ovlg.onrender.com`.</t>
  </si>
  <si>
    <t xml:space="preserve">every line `PASS`; last line `17/17 checks passed` (the count grows as checks are added).</t>
  </si>
  <si>
    <t xml:space="preserve">hosted:H1
hosted:C1
hosted:X1</t>
  </si>
  <si>
    <t xml:space="preserve">TC-HOST-02</t>
  </si>
  <si>
    <t xml:space="preserve">Root page and docs</t>
  </si>
  <si>
    <t xml:space="preserve">open the site root `/`, then `/api/v1/docs`.</t>
  </si>
  <si>
    <t xml:space="preserve">JSON pointing to `/api/v1/docs`, `/api/v1/health` and `/admin/`; the docs page lists every endpoint.</t>
  </si>
  <si>
    <t xml:space="preserve">apps.core.tests.RootPageTests.test_root_points_to_the_api
hosted:H5</t>
  </si>
  <si>
    <t xml:space="preserve">TC-HOST-03</t>
  </si>
  <si>
    <t xml:space="preserve">Tester tools are off</t>
  </si>
  <si>
    <t xml:space="preserve">NFR-SEC-1</t>
  </si>
  <si>
    <t xml:space="preserve">`GET /dev/outbox` on the hosted site.</t>
  </si>
  <si>
    <t xml:space="preserve">`404`.</t>
  </si>
  <si>
    <t xml:space="preserve">hosted:X3</t>
  </si>
  <si>
    <t xml:space="preserve">TC-HOST-04</t>
  </si>
  <si>
    <t xml:space="preserve">HTTPS enforced</t>
  </si>
  <si>
    <t xml:space="preserve">open `http://tutor-platform-ovlg.onrender.com/api/v1/catalogue/facets` (plain http).</t>
  </si>
  <si>
    <t xml:space="preserve">redirected to `https://`; responses carry `Strict-Transport-Security`.</t>
  </si>
  <si>
    <t xml:space="preserve">hosted:H2
hosted:H4</t>
  </si>
  <si>
    <t xml:space="preserve">TC-DEMO-01</t>
  </si>
  <si>
    <t xml:space="preserve">Demo people</t>
  </si>
  <si>
    <t xml:space="preserve">Every demo account logs in</t>
  </si>
  <si>
    <t xml:space="preserve">Local or hosted</t>
  </si>
  <si>
    <t xml:space="preserve">`POST /auth/login` with each account in demo-data.md (email or 10-digit mobile).</t>
  </si>
  <si>
    <t xml:space="preserve">`200`; `GET /me` shows the right name, account type and roles.</t>
  </si>
  <si>
    <t xml:space="preserve">apps.demo.tests.DemoWorldTests.test_everyone_logs_in_with_the_demo_password</t>
  </si>
  <si>
    <t xml:space="preserve">TC-DEMO-02</t>
  </si>
  <si>
    <t xml:space="preserve">Consent states are enforced</t>
  </si>
  <si>
    <t xml:space="preserve">FR-LRN-1</t>
  </si>
  <si>
    <t xml:space="preserve">as Wasim (waiting) and Rohan (paused), open any lesson.</t>
  </si>
  <si>
    <t xml:space="preserve">`403 consent_required` for both. As Farhan, restore Rohan's consent (`POST /parent/children/&lt;rohan id&gt;/consent/restore`); Rohan can open lessons again and his old quiz is still in `GET /student/record`.</t>
  </si>
  <si>
    <t xml:space="preserve">apps.demo.tests.DemoWorldTests.test_student_states
apps.demo.tests.DemoWorldTests.test_paused_student_keeps_history_but_is_blocked</t>
  </si>
  <si>
    <t xml:space="preserve">TC-DEMO-03</t>
  </si>
  <si>
    <t xml:space="preserve">Entitlements differ per student</t>
  </si>
  <si>
    <t xml:space="preserve">FR-LRN-2</t>
  </si>
  <si>
    <t xml:space="preserve">open a Module 2 lesson of Mathematics · Class 8 as Asha, Kabir and Rohan-after-restore.</t>
  </si>
  <si>
    <t xml:space="preserve">Asha `403 not_entitled`; Kabir `200` (programme); Rohan `200` (course).</t>
  </si>
  <si>
    <t xml:space="preserve">TC-DEMO-04</t>
  </si>
  <si>
    <t xml:space="preserve">Kabir's record</t>
  </si>
  <si>
    <t xml:space="preserve">FR-LRN-5, FR-LRN-6</t>
  </si>
  <si>
    <t xml:space="preserve">as Kabir, `GET /student/record` and `GET /student/today`.</t>
  </si>
  <si>
    <t xml:space="preserve">AI Foundations under completed courses; 7 quizzes; skill `M8-RAT-02` weak; Today's `review` points at a Rational numbers lesson.</t>
  </si>
  <si>
    <t xml:space="preserve">apps.demo.tests.DemoWorldTests.test_kabir_sees_his_record_and_a_review_item
apps.demo.tests.DemoWorldTests.test_learning_history</t>
  </si>
  <si>
    <t xml:space="preserve">TC-DEMO-05</t>
  </si>
  <si>
    <t xml:space="preserve">Streaks</t>
  </si>
  <si>
    <t xml:space="preserve">NFR-TIME-1</t>
  </si>
  <si>
    <t xml:space="preserve">right after `seed_demo --reset-activity`, `GET /student/today` as Zoya and Meera.</t>
  </si>
  <si>
    <t xml:space="preserve">`streak_days` 5 and 3. On later days the numbers drop (streaks are real), which is correct.</t>
  </si>
  <si>
    <t xml:space="preserve">apps.demo.tests.DemoWorldTests.test_learning_history
apps.demo.tests.DemoWorldTests.test_reset_activity_rebuilds_history</t>
  </si>
  <si>
    <t xml:space="preserve">TC-DEMO-06</t>
  </si>
  <si>
    <t xml:space="preserve">Draft course never shown</t>
  </si>
  <si>
    <t xml:space="preserve">`GET /catalogue/items?page_size=50`, then `GET /courses/biology-class-12`.</t>
  </si>
  <si>
    <t xml:space="preserve">not listed; `404`.</t>
  </si>
  <si>
    <t xml:space="preserve">apps.demo.tests.DemoWorldTests.test_draft_course_is_hidden_from_the_public_catalogue</t>
  </si>
  <si>
    <t xml:space="preserve">TC-DEMO-07</t>
  </si>
  <si>
    <t xml:space="preserve">Product admins (roles, not Django superusers)</t>
  </si>
  <si>
    <t xml:space="preserve">Maya publishes the approved Maths version</t>
  </si>
  <si>
    <t xml:space="preserve">log in to `/admin/` as Maya; Content versions → filter *approved* → *Solving linear equations* → action Publish selected approved versions.</t>
  </si>
  <si>
    <t xml:space="preserve">published, old version archived, audit entry with Maya as actor; `GET /lessons/&lt;id&gt;` as Kabir shows the "What's new in this version" section.</t>
  </si>
  <si>
    <t xml:space="preserve">apps.demo.tests.DemoWorldTests.test_content_waiting_in_every_review_state</t>
  </si>
  <si>
    <t xml:space="preserve">TC-DEMO-08</t>
  </si>
  <si>
    <t xml:space="preserve">Leads are limited to their subject</t>
  </si>
  <si>
    <t xml:space="preserve">NFR-SEC-5</t>
  </si>
  <si>
    <t xml:space="preserve">as Lalit, try to publish a Maths version; as Maya, try to publish Tara's AI Foundations draft after an admin approves it.</t>
  </si>
  <si>
    <t xml:space="preserve">both refused with "Only the curriculum lead…"; nothing changes.</t>
  </si>
  <si>
    <t xml:space="preserve">apps.demo.tests.DemoWorldTests.test_publishing_rights_match_the_roles</t>
  </si>
  <si>
    <t xml:space="preserve">TC-DEMO-09</t>
  </si>
  <si>
    <t xml:space="preserve">Operations cannot publish, can enrol</t>
  </si>
  <si>
    <t xml:space="preserve">as Omar, open Content versions (not visible or read-only), then Entitlements → add one for Ishaan on Physics · Class 11.</t>
  </si>
  <si>
    <t xml:space="preserve">cannot publish; the entitlement saves and Ishaan can open Physics Module 2 lessons.</t>
  </si>
  <si>
    <t xml:space="preserve">TC-DEMO-10</t>
  </si>
  <si>
    <t xml:space="preserve">Only the super admin grants roles</t>
  </si>
  <si>
    <t xml:space="preserve">as Ananya, add a *reviewer* role for Tara on Mathematics. As Maya, try the same.</t>
  </si>
  <si>
    <t xml:space="preserve">Ananya's grant saves with *Granted by* = Ananya and an audit entry; Maya sees no Add button.</t>
  </si>
  <si>
    <t xml:space="preserve">apps.demo.tests.DemoWorldTests.test_four_product_admins
apps.content.tests.RoleAdminTests.test_only_super_admins_grant_roles</t>
  </si>
  <si>
    <t xml:space="preserve">TC-DEMO-11</t>
  </si>
  <si>
    <t xml:space="preserve">Review states are visible</t>
  </si>
  <si>
    <t xml:space="preserve">FR-CON-2</t>
  </si>
  <si>
    <t xml:space="preserve">as Ananya in Content versions, filter by status.</t>
  </si>
  <si>
    <t xml:space="preserve">one draft (Tara, What is data?), one in review (Vikram → Neha), one approved (Solving linear equations) until TC-DEMO-07 publishes it.</t>
  </si>
  <si>
    <t xml:space="preserve">TC-LRN-01</t>
  </si>
  <si>
    <t xml:space="preserve">Learning &amp; quizzes</t>
  </si>
  <si>
    <t xml:space="preserve">Open a lesson</t>
  </si>
  <si>
    <t xml:space="preserve">logged in as Esha.</t>
  </si>
  <si>
    <t xml:space="preserve">`GET /lessons/&lt;id&gt;`.</t>
  </si>
  <si>
    <t xml:space="preserve">`200`, sections, skills, `has_quiz: true`. Admin → Lesson progress shows `opened`.</t>
  </si>
  <si>
    <t xml:space="preserve">apps.learning.tests.AccessTests.test_free_lesson_open_without_purchase
smoke:L1</t>
  </si>
  <si>
    <t xml:space="preserve">TC-LRN-02</t>
  </si>
  <si>
    <t xml:space="preserve">Waiting student blocked</t>
  </si>
  <si>
    <t xml:space="preserve">logged in as Wasim.</t>
  </si>
  <si>
    <t xml:space="preserve">open a lesson; start a quiz; `GET /student/today`.</t>
  </si>
  <si>
    <t xml:space="preserve">`403 consent_required` for all three.</t>
  </si>
  <si>
    <t xml:space="preserve">apps.learning.tests.AccessTests.test_consent_required
smoke:A2</t>
  </si>
  <si>
    <t xml:space="preserve">TC-LRN-03</t>
  </si>
  <si>
    <t xml:space="preserve">Entitlement gate</t>
  </si>
  <si>
    <t xml:space="preserve">TC-CAT-09's paid lesson exists.</t>
  </si>
  <si>
    <t xml:space="preserve">Asha (no purchase) opens it; Esha (entitled) opens it.</t>
  </si>
  <si>
    <t xml:space="preserve">Asha `403 not_entitled`; Esha `200` if the lesson has published content, otherwise `404` (allowed, but empty).</t>
  </si>
  <si>
    <t xml:space="preserve">apps.learning.tests.AccessTests.test_paid_lesson_needs_entitlement
apps.learning.tests.AccessTests.test_programme_entitlement_covers_its_courses</t>
  </si>
  <si>
    <t xml:space="preserve">TC-LRN-04</t>
  </si>
  <si>
    <t xml:space="preserve">Entitlement revoked or expired</t>
  </si>
  <si>
    <t xml:space="preserve">in admin set Esha's entitlement `revoked_at` (or `ends_at` in the past); open the paid lesson.</t>
  </si>
  <si>
    <t xml:space="preserve">`403 not_entitled`. Clear the field and it works again.</t>
  </si>
  <si>
    <t xml:space="preserve">apps.learning.tests.AccessTests.test_revoked_entitlement</t>
  </si>
  <si>
    <t xml:space="preserve">TC-LRN-05</t>
  </si>
  <si>
    <t xml:space="preserve">Finish a lesson</t>
  </si>
  <si>
    <t xml:space="preserve">`POST /lessons/&lt;id&gt;/finish`.</t>
  </si>
  <si>
    <t xml:space="preserve">`finished: true`, `next_lesson_id` points to the next unfinished lesson.</t>
  </si>
  <si>
    <t xml:space="preserve">TC-QZ-01</t>
  </si>
  <si>
    <t xml:space="preserve">Start a quiz; no answers leaked</t>
  </si>
  <si>
    <t xml:space="preserve">FR-LRN-3</t>
  </si>
  <si>
    <t xml:space="preserve">`POST /lessons/&lt;id&gt;/quiz/start`.</t>
  </si>
  <si>
    <t xml:space="preserve">`attempt_id`; each item has stem, options, `hints_available`; the response contains no `answer_index`, explanation or misconception.</t>
  </si>
  <si>
    <t xml:space="preserve">apps.learning.tests.QuizFlowTests.test_quiz_does_not_leak_answers
smoke:Q1</t>
  </si>
  <si>
    <t xml:space="preserve">TC-QZ-02</t>
  </si>
  <si>
    <t xml:space="preserve">Resume, don't duplicate</t>
  </si>
  <si>
    <t xml:space="preserve">start the same quiz twice without submitting.</t>
  </si>
  <si>
    <t xml:space="preserve">the same `attempt_id` both times.</t>
  </si>
  <si>
    <t xml:space="preserve">apps.learning.test_queries.LearningQueryTests.test_resume_quiz</t>
  </si>
  <si>
    <t xml:space="preserve">TC-QZ-03</t>
  </si>
  <si>
    <t xml:space="preserve">Hints</t>
  </si>
  <si>
    <t xml:space="preserve">FR-LRN-4</t>
  </si>
  <si>
    <t xml:space="preserve">`POST /attempts/&lt;id&gt;/hint {"position": 1}` until refused.</t>
  </si>
  <si>
    <t xml:space="preserve">each returns the next hint and `hints_left`; after the last, `409`. Hints after answering that question: `409`.</t>
  </si>
  <si>
    <t xml:space="preserve">apps.learning.tests.QuizFlowTests.test_full_quiz
smoke:Q2</t>
  </si>
  <si>
    <t xml:space="preserve">TC-QZ-04</t>
  </si>
  <si>
    <t xml:space="preserve">Correct answer</t>
  </si>
  <si>
    <t xml:space="preserve">answer position 1 correctly.</t>
  </si>
  <si>
    <t xml:space="preserve">`correct: true`, `correct_index`, explanation, mastery for the skill with `score &gt; 0`.</t>
  </si>
  <si>
    <t xml:space="preserve">apps.learning.tests.QuizFlowTests.test_full_quiz</t>
  </si>
  <si>
    <t xml:space="preserve">TC-QZ-05</t>
  </si>
  <si>
    <t xml:space="preserve">Wrong answer with misconception</t>
  </si>
  <si>
    <t xml:space="preserve">on *What is data?* answer position 2 with option 1.</t>
  </si>
  <si>
    <t xml:space="preserve">`correct: false`, misconception "Who won is the label here."</t>
  </si>
  <si>
    <t xml:space="preserve">TC-QZ-06</t>
  </si>
  <si>
    <t xml:space="preserve">Can't answer twice; bad option</t>
  </si>
  <si>
    <t xml:space="preserve">in an open attempt, answer position 1, then answer position 1 again; then answer position 2 with `choice_index: 9`.</t>
  </si>
  <si>
    <t xml:space="preserve">second answer `409`; `choice_index: 9` → `400 validation_error`.</t>
  </si>
  <si>
    <t xml:space="preserve">apps.learning.tests.QuizFlowTests.test_full_quiz
smoke:Q4</t>
  </si>
  <si>
    <t xml:space="preserve">TC-QZ-07</t>
  </si>
  <si>
    <t xml:space="preserve">Submit</t>
  </si>
  <si>
    <t xml:space="preserve">answer every question, `POST /attempts/&lt;id&gt;/submit`, then submit again.</t>
  </si>
  <si>
    <t xml:space="preserve">`score` / `max_score`; `skill_changes` with `before` and `after` per skill; submitting again `409`; the lesson is now finished.</t>
  </si>
  <si>
    <t xml:space="preserve">apps.learning.tests.QuizFlowTests.test_full_quiz
smoke:Q5</t>
  </si>
  <si>
    <t xml:space="preserve">TC-QZ-08</t>
  </si>
  <si>
    <t xml:space="preserve">Someone else's attempt</t>
  </si>
  <si>
    <t xml:space="preserve">Asha starts a quiz; Esha tries to answer or submit Asha's `attempt_id`.</t>
  </si>
  <si>
    <t xml:space="preserve">`404` (not `403`, which would reveal that the attempt exists).</t>
  </si>
  <si>
    <t xml:space="preserve">apps.learning.tests.QuizFlowTests.test_other_students_attempt_is_invisible</t>
  </si>
  <si>
    <t xml:space="preserve">TC-MAS-01</t>
  </si>
  <si>
    <t xml:space="preserve">Mastery rule</t>
  </si>
  <si>
    <t xml:space="preserve">FR-LRN-4, FR-LRN-5</t>
  </si>
  <si>
    <t xml:space="preserve">with a fresh student, answer three questions on skill `AI-DATA-01` correctly with no hints.</t>
  </si>
  <si>
    <t xml:space="preserve">scores ≈ 0.35 → 0.5775 → 0.7254; level `developing` (not `mastered`: needs ≥ 0.75). Admin → Mastery events shows three rows, each linked to its answer.</t>
  </si>
  <si>
    <t xml:space="preserve">apps.learning.tests.MasteryRuleTests.test_levels</t>
  </si>
  <si>
    <t xml:space="preserve">TC-MAS-02</t>
  </si>
  <si>
    <t xml:space="preserve">Hint penalty</t>
  </si>
  <si>
    <t xml:space="preserve">fresh student; one hint on a question, then answer correctly.</t>
  </si>
  <si>
    <t xml:space="preserve">score 0.2625 (credit 0.75 × 0.35), not 0.35.</t>
  </si>
  <si>
    <t xml:space="preserve">apps.learning.tests.MasteryRuleTests.test_hint_penalty</t>
  </si>
  <si>
    <t xml:space="preserve">TC-MAS-03</t>
  </si>
  <si>
    <t xml:space="preserve">Course completion</t>
  </si>
  <si>
    <t xml:space="preserve">FR-LRN-6</t>
  </si>
  <si>
    <t xml:space="preserve">Esha, with no extra paid lesson in the course.</t>
  </si>
  <si>
    <t xml:space="preserve">take all three quizzes with the correct answers.</t>
  </si>
  <si>
    <t xml:space="preserve">last submit returns `course_completed: true`; `GET /student/record` lists AI Foundations in `completed_courses`; `GET /student/today` has `next_lesson: null`.</t>
  </si>
  <si>
    <t xml:space="preserve">apps.learning.tests.QuizFlowTests.test_course_completion_and_today</t>
  </si>
  <si>
    <t xml:space="preserve">TC-TDY-01</t>
  </si>
  <si>
    <t xml:space="preserve">Today</t>
  </si>
  <si>
    <t xml:space="preserve">FR-LRN-7</t>
  </si>
  <si>
    <t xml:space="preserve">after a few answers (some wrong), `GET /student/today`.</t>
  </si>
  <si>
    <t xml:space="preserve">`next_lesson` = first unfinished accessible lesson; `review` names the weakest practised skill; `streak_days ≥ 1`.</t>
  </si>
  <si>
    <t xml:space="preserve">apps.learning.tests.QuizFlowTests.test_course_completion_and_today
smoke:R2</t>
  </si>
  <si>
    <t xml:space="preserve">TC-TDY-02</t>
  </si>
  <si>
    <t xml:space="preserve">Streak uses India time</t>
  </si>
  <si>
    <t xml:space="preserve">answer a question between 00:00 and 05:30 IST; check Today.</t>
  </si>
  <si>
    <t xml:space="preserve">`streak_days ≥ 1` (not 0).</t>
  </si>
  <si>
    <t xml:space="preserve">apps.learning.test_queries.StreakTests.test_streak_stops_at_the_first_gap
apps.demo.tests.StudyTimeTests.test_study_time_is_10am_ist_and_never_in_the_future</t>
  </si>
  <si>
    <t xml:space="preserve">TC-REC-01</t>
  </si>
  <si>
    <t xml:space="preserve">My record</t>
  </si>
  <si>
    <t xml:space="preserve">as Kabir (or a student who has taken a quiz), `GET /student/record`.</t>
  </si>
  <si>
    <t xml:space="preserve">mastery per skill (code, name, level, score, evidence); completed courses; quiz history newest first; `lessons_finished`.</t>
  </si>
  <si>
    <t xml:space="preserve">apps.learning.tests.QuizFlowTests.test_full_quiz
smoke:R1</t>
  </si>
  <si>
    <t xml:space="preserve">TC-SEC-01</t>
  </si>
  <si>
    <t xml:space="preserve">Security &amp; privacy</t>
  </si>
  <si>
    <t xml:space="preserve">Anonymous access</t>
  </si>
  <si>
    <t xml:space="preserve">logged out, call `GET /me`, `GET /student/today`, `GET /student/record`, `GET /lessons/&lt;id&gt;`, `POST /parent/children`.</t>
  </si>
  <si>
    <t xml:space="preserve">`401 not_authenticated` for each.</t>
  </si>
  <si>
    <t xml:space="preserve">apps.accounts.test_api.SecureByDefaultTests.test_protected_endpoints_need_login
hosted:X1
hosted:X2</t>
  </si>
  <si>
    <t xml:space="preserve">TC-SEC-02</t>
  </si>
  <si>
    <t xml:space="preserve">Parent can only act on their own children</t>
  </si>
  <si>
    <t xml:space="preserve">a different verified parent withdraws consent for Asha's ID.</t>
  </si>
  <si>
    <t xml:space="preserve">`404 not_found`; Asha unaffected.</t>
  </si>
  <si>
    <t xml:space="preserve">apps.accounts.test_api.ParentManagesChildren.test_other_parent_cannot_touch_child</t>
  </si>
  <si>
    <t xml:space="preserve">TC-SEC-03</t>
  </si>
  <si>
    <t xml:space="preserve">Student can't approve their own account</t>
  </si>
  <si>
    <t xml:space="preserve">the waiting student signs up as a parent with a second contact and tries to approve their own link while logged in as the student account.</t>
  </si>
  <si>
    <t xml:space="preserve">`403`.</t>
  </si>
  <si>
    <t xml:space="preserve">TC-SEC-04</t>
  </si>
  <si>
    <t xml:space="preserve">Consent gates every learning action</t>
  </si>
  <si>
    <t xml:space="preserve">as Wasim (waiting), try lesson, finish, quiz start, hint, answer, submit, today, record.</t>
  </si>
  <si>
    <t xml:space="preserve">`403 consent_required` for each.</t>
  </si>
  <si>
    <t xml:space="preserve">apps.learning.tests.AccessTests.test_consent_required
smoke:P2</t>
  </si>
  <si>
    <t xml:space="preserve">TC-SEC-05</t>
  </si>
  <si>
    <t xml:space="preserve">Secrets are stored hashed</t>
  </si>
  <si>
    <t xml:space="preserve">NFR-SEC-3</t>
  </si>
  <si>
    <t xml:space="preserve">Admin → Approval requests and Verification codes.</t>
  </si>
  <si>
    <t xml:space="preserve">only 64-character hashes; the raw link token or code from the outbox appears nowhere in admin.</t>
  </si>
  <si>
    <t xml:space="preserve">apps.accounts.tests.TokenAndApprovalTests.test_link_token_stored_only_as_hash</t>
  </si>
  <si>
    <t xml:space="preserve">TC-SEC-06</t>
  </si>
  <si>
    <t xml:space="preserve">Consent evidence</t>
  </si>
  <si>
    <t xml:space="preserve">FR-ACC-5</t>
  </si>
  <si>
    <t xml:space="preserve">after an approval, open the consent record in admin.</t>
  </si>
  <si>
    <t xml:space="preserve">consent text version, time, IP. Admin → Consent texts: an existing text can't be edited.</t>
  </si>
  <si>
    <t xml:space="preserve">apps.accounts.tests.GuardianConsentTests.test_consent_record_active_until_withdrawn</t>
  </si>
  <si>
    <t xml:space="preserve">TC-SEC-07</t>
  </si>
  <si>
    <t xml:space="preserve">Audit log is read-only</t>
  </si>
  <si>
    <t xml:space="preserve">FR-OPS-1</t>
  </si>
  <si>
    <t xml:space="preserve">Admin → Audit log.</t>
  </si>
  <si>
    <t xml:space="preserve">entries for consent given/withdrawn/restored and content publishing; no add, edit or delete buttons.</t>
  </si>
  <si>
    <t xml:space="preserve">apps.core.tests.AuditLogAdminTests.test_audit_log_is_read_only_even_for_superusers</t>
  </si>
  <si>
    <t xml:space="preserve">TC-SEC-08</t>
  </si>
  <si>
    <t xml:space="preserve">Published content can't be edited</t>
  </si>
  <si>
    <t xml:space="preserve">FR-CON-1</t>
  </si>
  <si>
    <t xml:space="preserve">Admin → Content versions → a published version.</t>
  </si>
  <si>
    <t xml:space="preserve">body, lesson and version number are read-only. Creating a second published version for the same lesson directly fails.</t>
  </si>
  <si>
    <t xml:space="preserve">apps.catalogue.tests.ContentVersionTests.test_one_published_version_per_lesson
apps.content.tests.AdminPublishingTests.test_published_status_cannot_be_changed_back_in_the_form</t>
  </si>
  <si>
    <t xml:space="preserve">TC-SEC-09</t>
  </si>
  <si>
    <t xml:space="preserve">Reviewer ≠ author</t>
  </si>
  <si>
    <t xml:space="preserve">in admin, set a content version's reviewer to its author.</t>
  </si>
  <si>
    <t xml:space="preserve">save refused (database constraint).</t>
  </si>
  <si>
    <t xml:space="preserve">apps.catalogue.tests.ContentVersionTests.test_reviewer_cannot_be_author</t>
  </si>
  <si>
    <t xml:space="preserve">TC-SEC-10</t>
  </si>
  <si>
    <t xml:space="preserve">Enumeration resistance</t>
  </si>
  <si>
    <t xml:space="preserve">`POST /auth/otp/send` for a registered and an unregistered number.</t>
  </si>
  <si>
    <t xml:space="preserve">identical responses.</t>
  </si>
  <si>
    <t xml:space="preserve">TC-SEC-11</t>
  </si>
  <si>
    <t xml:space="preserve">Dev tools not in production mode</t>
  </si>
  <si>
    <t xml:space="preserve">set `DJANGO_DEBUG=false` in `.env`, restart, `GET /dev/outbox`; run `python manage.py seed_test_accounts`.</t>
  </si>
  <si>
    <t xml:space="preserve">`404`; command refuses. Restore `DJANGO_DEBUG=true` afterwards. (Also covered by automated tests.)</t>
  </si>
  <si>
    <t xml:space="preserve">apps.accounts.tests.DevToolsAreLockedTests.test_seed_test_accounts_refuses_without_dev_flags
apps.accounts.tests.DevToolsAreLockedTests.test_dev_outbox_not_mounted_when_debug_off
hosted:X3</t>
  </si>
  <si>
    <t xml:space="preserve">TC-SEC-12</t>
  </si>
  <si>
    <t xml:space="preserve">No data minimisation regressions</t>
  </si>
  <si>
    <t xml:space="preserve">NFR-PRIV-1</t>
  </si>
  <si>
    <t xml:space="preserve">review `GET /me`, `GET /consent/link/&lt;token&gt;`.</t>
  </si>
  <si>
    <t xml:space="preserve">no date of birth anywhere; the approval page shows only the child's first name and class.</t>
  </si>
  <si>
    <t xml:space="preserve">TC-SEC-13</t>
  </si>
  <si>
    <t xml:space="preserve">Login lockout</t>
  </si>
  <si>
    <t xml:space="preserve">NFR-SEC-4</t>
  </si>
  <si>
    <t xml:space="preserve">`POST /auth/login` for Wasim (`9000000004`) with a wrong password 10 times, then once with `Test-Pass-2026`.</t>
  </si>
  <si>
    <t xml:space="preserve">first 9 → `400 invalid_credentials`; 10th and the correct password → `429 login_locked`. Other accounts still log in. To unlock (running `seed_test_accounts` does not): wait 15 minutes, or reset Wasim's password with a one-time code (`/auth/otp/send` purpose `reset_password` → `/auth/password/reset`), which lifts the lock at once.</t>
  </si>
  <si>
    <t xml:space="preserve">apps.accounts.test_security.LoginLockoutTests.test_account_locks_after_repeated_wrong_passwords
apps.accounts.test_security.LoginLockoutTests.test_password_reset_lifts_the_lockout</t>
  </si>
  <si>
    <t xml:space="preserve">TC-SEC-14</t>
  </si>
  <si>
    <t xml:space="preserve">Lockout doesn't reveal accounts</t>
  </si>
  <si>
    <t xml:space="preserve">repeat TC-SEC-13 with `nobody@test.tutor` (no such account).</t>
  </si>
  <si>
    <t xml:space="preserve">identical responses, including the 10th.</t>
  </si>
  <si>
    <t xml:space="preserve">apps.accounts.test_security.LoginLockoutTests.test_unknown_accounts_lock_the_same_way</t>
  </si>
  <si>
    <t xml:space="preserve">TC-SEC-15</t>
  </si>
  <si>
    <t xml:space="preserve">Rate limit on login</t>
  </si>
  <si>
    <t xml:space="preserve">send more than 30 `POST /auth/login` requests within one minute (any credentials; a small script or repeated "Execute" in `/docs`).</t>
  </si>
  <si>
    <t xml:space="preserve">from the 31st, `429 limit_reached` with a `Retry-After` header; after a minute it works again.</t>
  </si>
  <si>
    <t xml:space="preserve">apps.accounts.test_security.RateLimitTests.test_login_is_rate_limited_per_ip</t>
  </si>
  <si>
    <t xml:space="preserve">TC-SEC-16</t>
  </si>
  <si>
    <t xml:space="preserve">Forged X-Forwarded-For doesn't bypass limits</t>
  </si>
  <si>
    <t xml:space="preserve">repeat TC-SEC-15 adding a different `X-Forwarded-For` header on every request (e.g. with curl `-H`).</t>
  </si>
  <si>
    <t xml:space="preserve">still limited after 30 (locally the header is ignored entirely; see D21).</t>
  </si>
  <si>
    <t xml:space="preserve">apps.accounts.test_security.RateLimitTests.test_forging_x_forwarded_for_does_not_escape_the_limit
apps.accounts.test_security.ClientIpTests.test_forged_left_entries_are_ignored</t>
  </si>
  <si>
    <t xml:space="preserve">TC-SEC-17</t>
  </si>
  <si>
    <t xml:space="preserve">Only curriculum leads publish</t>
  </si>
  <si>
    <t xml:space="preserve">log in to `/admin/` as a staff user who has content permissions but no curriculum-lead role (create one as the superuser, or temporarily revoke Lalit's role), select an approved AI Foundations version, run Publish selected approved versions.</t>
  </si>
  <si>
    <t xml:space="preserve">warning "Only the curriculum lead…"; nothing published. With Lalit (lead) it publishes.</t>
  </si>
  <si>
    <t xml:space="preserve">apps.content.tests.AdminPublishingTests.test_staff_without_role_is_refused
apps.content.tests.PublishPermissionTests.test_reviewer_without_lead_role_cannot_publish</t>
  </si>
  <si>
    <t xml:space="preserve">TC-SEC-18</t>
  </si>
  <si>
    <t xml:space="preserve">Staff can't promote themselves</t>
  </si>
  <si>
    <t xml:space="preserve">as Lalit in `/admin/`, open his own user record (give him `change_user` first if needed).</t>
  </si>
  <si>
    <t xml:space="preserve">Staff status, Superuser status, Groups and Permissions are read-only. Role grants: no Add button, no delete.</t>
  </si>
  <si>
    <t xml:space="preserve">apps.content.tests.RoleAdminTests.test_staff_cannot_give_themselves_admin_access
apps.content.tests.RoleAdminTests.test_only_super_admins_grant_roles</t>
  </si>
  <si>
    <t xml:space="preserve">Test label</t>
  </si>
  <si>
    <t xml:space="preserve">App</t>
  </si>
  <si>
    <t xml:space="preserve">Layer</t>
  </si>
  <si>
    <t xml:space="preserve">Class</t>
  </si>
  <si>
    <t xml:space="preserve">What it proves</t>
  </si>
  <si>
    <t xml:space="preserve">Covers manual cases</t>
  </si>
  <si>
    <t xml:space="preserve">Run it (from backend/)</t>
  </si>
  <si>
    <t xml:space="preserve">apps.accounts.test_api.SignupAndApprovalFlow.test_student_signup_waits_for_parent</t>
  </si>
  <si>
    <t xml:space="preserve">accounts</t>
  </si>
  <si>
    <t xml:space="preserve">API</t>
  </si>
  <si>
    <t xml:space="preserve">SignupAndApprovalFlow</t>
  </si>
  <si>
    <t xml:space="preserve">Student signup waits for parent</t>
  </si>
  <si>
    <t xml:space="preserve">python manage.py test apps.accounts.test_api.SignupAndApprovalFlow.test_student_signup_waits_for_parent --settings=config.settings.test</t>
  </si>
  <si>
    <t xml:space="preserve">apps.accounts.test_api.SignupAndApprovalFlow.test_full_approval</t>
  </si>
  <si>
    <t xml:space="preserve">Full approval</t>
  </si>
  <si>
    <t xml:space="preserve">TC-ACC-02, TC-CON-02</t>
  </si>
  <si>
    <t xml:space="preserve">python manage.py test apps.accounts.test_api.SignupAndApprovalFlow.test_full_approval --settings=config.settings.test</t>
  </si>
  <si>
    <t xml:space="preserve">Parent must verify contact first</t>
  </si>
  <si>
    <t xml:space="preserve">python manage.py test apps.accounts.test_api.SignupAndApprovalFlow.test_parent_must_verify_contact_first --settings=config.settings.test</t>
  </si>
  <si>
    <t xml:space="preserve">Not my child</t>
  </si>
  <si>
    <t xml:space="preserve">python manage.py test apps.accounts.test_api.SignupAndApprovalFlow.test_not_my_child --settings=config.settings.test</t>
  </si>
  <si>
    <t xml:space="preserve">python manage.py test apps.accounts.test_api.SignupAndApprovalFlow.test_resend_limit --settings=config.settings.test</t>
  </si>
  <si>
    <t xml:space="preserve">python manage.py test apps.accounts.test_api.SignupAndApprovalFlow.test_change_parent_contact --settings=config.settings.test</t>
  </si>
  <si>
    <t xml:space="preserve">apps.accounts.test_api.LoginAndErrors.test_login_with_plain_10_digit_mobile</t>
  </si>
  <si>
    <t xml:space="preserve">LoginAndErrors</t>
  </si>
  <si>
    <t xml:space="preserve">Login with plain 10 digit mobile</t>
  </si>
  <si>
    <t xml:space="preserve">python manage.py test apps.accounts.test_api.LoginAndErrors.test_login_with_plain_10_digit_mobile --settings=config.settings.test</t>
  </si>
  <si>
    <t xml:space="preserve">apps.accounts.test_api.LoginAndErrors.test_wrong_password</t>
  </si>
  <si>
    <t xml:space="preserve">python manage.py test apps.accounts.test_api.LoginAndErrors.test_wrong_password --settings=config.settings.test</t>
  </si>
  <si>
    <t xml:space="preserve">Duplicate signup</t>
  </si>
  <si>
    <t xml:space="preserve">python manage.py test apps.accounts.test_api.LoginAndErrors.test_duplicate_signup --settings=config.settings.test</t>
  </si>
  <si>
    <t xml:space="preserve">Validation error format</t>
  </si>
  <si>
    <t xml:space="preserve">python manage.py test apps.accounts.test_api.LoginAndErrors.test_validation_error_format --settings=config.settings.test</t>
  </si>
  <si>
    <t xml:space="preserve">apps.accounts.test_api.LoginAndErrors.test_me_requires_login</t>
  </si>
  <si>
    <t xml:space="preserve">Me requires login</t>
  </si>
  <si>
    <t xml:space="preserve">python manage.py test apps.accounts.test_api.LoginAndErrors.test_me_requires_login --settings=config.settings.test</t>
  </si>
  <si>
    <t xml:space="preserve">Otp not sent to unknown contact</t>
  </si>
  <si>
    <t xml:space="preserve">TC-ACC-10, TC-SEC-10</t>
  </si>
  <si>
    <t xml:space="preserve">python manage.py test apps.accounts.test_api.LoginAndErrors.test_otp_not_sent_to_unknown_contact --settings=config.settings.test</t>
  </si>
  <si>
    <t xml:space="preserve">python manage.py test apps.accounts.test_api.LoginAndErrors.test_password_reset --settings=config.settings.test</t>
  </si>
  <si>
    <t xml:space="preserve">ParentManagesChildren</t>
  </si>
  <si>
    <t xml:space="preserve">Add child withdraw and restore</t>
  </si>
  <si>
    <t xml:space="preserve">TC-CON-10, TC-CON-11</t>
  </si>
  <si>
    <t xml:space="preserve">python manage.py test apps.accounts.test_api.ParentManagesChildren.test_add_child_withdraw_and_restore --settings=config.settings.test</t>
  </si>
  <si>
    <t xml:space="preserve">Other parent cannot touch child</t>
  </si>
  <si>
    <t xml:space="preserve">python manage.py test apps.accounts.test_api.ParentManagesChildren.test_other_parent_cannot_touch_child --settings=config.settings.test</t>
  </si>
  <si>
    <t xml:space="preserve">SecureByDefaultTests</t>
  </si>
  <si>
    <t xml:space="preserve">TC-SET-3: the /docs page must send X-CSRFToken so logged-in POSTs work from Swagger.</t>
  </si>
  <si>
    <t xml:space="preserve">python manage.py test apps.accounts.test_api.SecureByDefaultTests.test_docs_page_sends_csrf_token --settings=config.settings.test</t>
  </si>
  <si>
    <t xml:space="preserve">apps.accounts.test_api.SecureByDefaultTests.test_public_endpoints_stay_public</t>
  </si>
  <si>
    <t xml:space="preserve">Public endpoints stay public</t>
  </si>
  <si>
    <t xml:space="preserve">python manage.py test apps.accounts.test_api.SecureByDefaultTests.test_public_endpoints_stay_public --settings=config.settings.test</t>
  </si>
  <si>
    <t xml:space="preserve">apps.accounts.test_api.SecureByDefaultTests.test_protected_endpoints_need_login</t>
  </si>
  <si>
    <t xml:space="preserve">Protected endpoints need login</t>
  </si>
  <si>
    <t xml:space="preserve">python manage.py test apps.accounts.test_api.SecureByDefaultTests.test_protected_endpoints_need_login --settings=config.settings.test</t>
  </si>
  <si>
    <t xml:space="preserve">apps.accounts.test_dev_tools.SeedTestAccountsTests.test_every_account_can_log_in_by_mobile_and_email</t>
  </si>
  <si>
    <t xml:space="preserve">Integration</t>
  </si>
  <si>
    <t xml:space="preserve">SeedTestAccountsTests</t>
  </si>
  <si>
    <t xml:space="preserve">Every account can log in by mobile and email</t>
  </si>
  <si>
    <t xml:space="preserve">python manage.py test apps.accounts.test_dev_tools.SeedTestAccountsTests.test_every_account_can_log_in_by_mobile_and_email --settings=config.settings.test</t>
  </si>
  <si>
    <t xml:space="preserve">apps.accounts.test_dev_tools.SeedTestAccountsTests.test_student_states</t>
  </si>
  <si>
    <t xml:space="preserve">Student states</t>
  </si>
  <si>
    <t xml:space="preserve">python manage.py test apps.accounts.test_dev_tools.SeedTestAccountsTests.test_student_states --settings=config.settings.test</t>
  </si>
  <si>
    <t xml:space="preserve">apps.accounts.test_dev_tools.SeedTestAccountsTests.test_parent_is_guardian_of_the_active_students_only</t>
  </si>
  <si>
    <t xml:space="preserve">Parent is guardian of the active students only</t>
  </si>
  <si>
    <t xml:space="preserve">python manage.py test apps.accounts.test_dev_tools.SeedTestAccountsTests.test_parent_is_guardian_of_the_active_students_only --settings=config.settings.test</t>
  </si>
  <si>
    <t xml:space="preserve">apps.accounts.test_dev_tools.SeedTestAccountsTests.test_asha_has_nothing_and_esha_has_ai_foundations</t>
  </si>
  <si>
    <t xml:space="preserve">Asha has nothing and esha has ai foundations</t>
  </si>
  <si>
    <t xml:space="preserve">python manage.py test apps.accounts.test_dev_tools.SeedTestAccountsTests.test_asha_has_nothing_and_esha_has_ai_foundations --settings=config.settings.test</t>
  </si>
  <si>
    <t xml:space="preserve">apps.accounts.test_dev_tools.SeedTestAccountsTests.test_teacher_can_author_and_review_but_not_publish</t>
  </si>
  <si>
    <t xml:space="preserve">Teacher can author and review but not publish</t>
  </si>
  <si>
    <t xml:space="preserve">python manage.py test apps.accounts.test_dev_tools.SeedTestAccountsTests.test_teacher_can_author_and_review_but_not_publish --settings=config.settings.test</t>
  </si>
  <si>
    <t xml:space="preserve">apps.accounts.test_dev_tools.SeedTestAccountsTests.test_lead_can_open_admin_and_publish_ai_foundations</t>
  </si>
  <si>
    <t xml:space="preserve">Lead can open admin and publish ai foundations</t>
  </si>
  <si>
    <t xml:space="preserve">python manage.py test apps.accounts.test_dev_tools.SeedTestAccountsTests.test_lead_can_open_admin_and_publish_ai_foundations --settings=config.settings.test</t>
  </si>
  <si>
    <t xml:space="preserve">apps.accounts.test_dev_tools.SeedTestAccountsTests.test_running_again_resets_instead_of_duplicating</t>
  </si>
  <si>
    <t xml:space="preserve">Running again resets instead of duplicating</t>
  </si>
  <si>
    <t xml:space="preserve">python manage.py test apps.accounts.test_dev_tools.SeedTestAccountsTests.test_running_again_resets_instead_of_duplicating --settings=config.settings.test</t>
  </si>
  <si>
    <t xml:space="preserve">apps.accounts.test_ensure_superuser.EnsureSuperuserTests.test_skips_when_not_configured</t>
  </si>
  <si>
    <t xml:space="preserve">EnsureSuperuserTests</t>
  </si>
  <si>
    <t xml:space="preserve">Skips when not configured</t>
  </si>
  <si>
    <t xml:space="preserve">python manage.py test apps.accounts.test_ensure_superuser.EnsureSuperuserTests.test_skips_when_not_configured --settings=config.settings.test</t>
  </si>
  <si>
    <t xml:space="preserve">apps.accounts.test_ensure_superuser.EnsureSuperuserTests.test_creates_superuser_once</t>
  </si>
  <si>
    <t xml:space="preserve">Creates superuser once</t>
  </si>
  <si>
    <t xml:space="preserve">python manage.py test apps.accounts.test_ensure_superuser.EnsureSuperuserTests.test_creates_superuser_once --settings=config.settings.test</t>
  </si>
  <si>
    <t xml:space="preserve">apps.accounts.test_ensure_superuser.EnsureSuperuserTests.test_never_resets_an_existing_password</t>
  </si>
  <si>
    <t xml:space="preserve">Never resets an existing password</t>
  </si>
  <si>
    <t xml:space="preserve">python manage.py test apps.accounts.test_ensure_superuser.EnsureSuperuserTests.test_never_resets_an_existing_password --settings=config.settings.test</t>
  </si>
  <si>
    <t xml:space="preserve">apps.accounts.test_ensure_superuser.EnsureSuperuserTests.test_never_promotes_an_existing_ordinary_account</t>
  </si>
  <si>
    <t xml:space="preserve">Never promotes an existing ordinary account</t>
  </si>
  <si>
    <t xml:space="preserve">python manage.py test apps.accounts.test_ensure_superuser.EnsureSuperuserTests.test_never_promotes_an_existing_ordinary_account --settings=config.settings.test</t>
  </si>
  <si>
    <t xml:space="preserve">apps.accounts.test_ensure_superuser.EnsureSuperuserTests.test_weak_password_is_refused</t>
  </si>
  <si>
    <t xml:space="preserve">Weak password is refused</t>
  </si>
  <si>
    <t xml:space="preserve">python manage.py test apps.accounts.test_ensure_superuser.EnsureSuperuserTests.test_weak_password_is_refused --settings=config.settings.test</t>
  </si>
  <si>
    <t xml:space="preserve">apps.accounts.test_security.ParseRateTests.test_valid_rates</t>
  </si>
  <si>
    <t xml:space="preserve">Unit</t>
  </si>
  <si>
    <t xml:space="preserve">ParseRateTests</t>
  </si>
  <si>
    <t xml:space="preserve">Valid rates</t>
  </si>
  <si>
    <t xml:space="preserve">python manage.py test apps.accounts.test_security.ParseRateTests.test_valid_rates --settings=config.settings.test</t>
  </si>
  <si>
    <t xml:space="preserve">apps.accounts.test_security.ParseRateTests.test_invalid_rates</t>
  </si>
  <si>
    <t xml:space="preserve">Invalid rates</t>
  </si>
  <si>
    <t xml:space="preserve">python manage.py test apps.accounts.test_security.ParseRateTests.test_invalid_rates --settings=config.settings.test</t>
  </si>
  <si>
    <t xml:space="preserve">apps.accounts.test_security.ClientIpTests.test_header_ignored_without_trusted_proxies</t>
  </si>
  <si>
    <t xml:space="preserve">ClientIpTests</t>
  </si>
  <si>
    <t xml:space="preserve">Header ignored without trusted proxies</t>
  </si>
  <si>
    <t xml:space="preserve">python manage.py test apps.accounts.test_security.ClientIpTests.test_header_ignored_without_trusted_proxies --settings=config.settings.test</t>
  </si>
  <si>
    <t xml:space="preserve">apps.accounts.test_security.ClientIpTests.test_forged_left_entries_are_ignored</t>
  </si>
  <si>
    <t xml:space="preserve">Forged left entries are ignored</t>
  </si>
  <si>
    <t xml:space="preserve">python manage.py test apps.accounts.test_security.ClientIpTests.test_forged_left_entries_are_ignored --settings=config.settings.test</t>
  </si>
  <si>
    <t xml:space="preserve">apps.accounts.test_security.ClientIpTests.test_two_proxies</t>
  </si>
  <si>
    <t xml:space="preserve">Two proxies</t>
  </si>
  <si>
    <t xml:space="preserve">python manage.py test apps.accounts.test_security.ClientIpTests.test_two_proxies --settings=config.settings.test</t>
  </si>
  <si>
    <t xml:space="preserve">apps.accounts.test_security.ClientIpTests.test_no_header_falls_back_to_remote_addr</t>
  </si>
  <si>
    <t xml:space="preserve">No header falls back to remote addr</t>
  </si>
  <si>
    <t xml:space="preserve">python manage.py test apps.accounts.test_security.ClientIpTests.test_no_header_falls_back_to_remote_addr --settings=config.settings.test</t>
  </si>
  <si>
    <t xml:space="preserve">RateLimitTests</t>
  </si>
  <si>
    <t xml:space="preserve">Login is rate limited per ip</t>
  </si>
  <si>
    <t xml:space="preserve">python manage.py test apps.accounts.test_security.RateLimitTests.test_login_is_rate_limited_per_ip --settings=config.settings.test</t>
  </si>
  <si>
    <t xml:space="preserve">apps.accounts.test_security.RateLimitTests.test_limit_is_per_client_ip</t>
  </si>
  <si>
    <t xml:space="preserve">Limit is per client ip</t>
  </si>
  <si>
    <t xml:space="preserve">python manage.py test apps.accounts.test_security.RateLimitTests.test_limit_is_per_client_ip --settings=config.settings.test</t>
  </si>
  <si>
    <t xml:space="preserve">apps.accounts.test_security.RateLimitTests.test_forging_x_forwarded_for_does_not_escape_the_limit</t>
  </si>
  <si>
    <t xml:space="preserve">Forging x forwarded for does not escape the limit</t>
  </si>
  <si>
    <t xml:space="preserve">python manage.py test apps.accounts.test_security.RateLimitTests.test_forging_x_forwarded_for_does_not_escape_the_limit --settings=config.settings.test</t>
  </si>
  <si>
    <t xml:space="preserve">apps.accounts.test_security.RateLimitTests.test_signup_is_rate_limited</t>
  </si>
  <si>
    <t xml:space="preserve">Signup is rate limited</t>
  </si>
  <si>
    <t xml:space="preserve">python manage.py test apps.accounts.test_security.RateLimitTests.test_signup_is_rate_limited --settings=config.settings.test</t>
  </si>
  <si>
    <t xml:space="preserve">One time code endpoints are rate limited</t>
  </si>
  <si>
    <t xml:space="preserve">python manage.py test apps.accounts.test_security.RateLimitTests.test_one_time_code_endpoints_are_rate_limited --settings=config.settings.test</t>
  </si>
  <si>
    <t xml:space="preserve">apps.accounts.test_security.RateLimitTests.test_consent_link_pages_are_rate_limited</t>
  </si>
  <si>
    <t xml:space="preserve">Consent link pages are rate limited</t>
  </si>
  <si>
    <t xml:space="preserve">python manage.py test apps.accounts.test_security.RateLimitTests.test_consent_link_pages_are_rate_limited --settings=config.settings.test</t>
  </si>
  <si>
    <t xml:space="preserve">apps.accounts.test_security.RateLimitTests.test_general_ceiling_applies_to_every_endpoint</t>
  </si>
  <si>
    <t xml:space="preserve">General ceiling applies to every endpoint</t>
  </si>
  <si>
    <t xml:space="preserve">python manage.py test apps.accounts.test_security.RateLimitTests.test_general_ceiling_applies_to_every_endpoint --settings=config.settings.test</t>
  </si>
  <si>
    <t xml:space="preserve">apps.accounts.test_security.RateLimitTests.test_no_rate_configured_means_no_limit</t>
  </si>
  <si>
    <t xml:space="preserve">No rate configured means no limit</t>
  </si>
  <si>
    <t xml:space="preserve">python manage.py test apps.accounts.test_security.RateLimitTests.test_no_rate_configured_means_no_limit --settings=config.settings.test</t>
  </si>
  <si>
    <t xml:space="preserve">apps.accounts.test_security.LoginLockoutTests.test_account_locks_after_repeated_wrong_passwords</t>
  </si>
  <si>
    <t xml:space="preserve">LoginLockoutTests</t>
  </si>
  <si>
    <t xml:space="preserve">Account locks after repeated wrong passwords</t>
  </si>
  <si>
    <t xml:space="preserve">python manage.py test apps.accounts.test_security.LoginLockoutTests.test_account_locks_after_repeated_wrong_passwords --settings=config.settings.test</t>
  </si>
  <si>
    <t xml:space="preserve">apps.accounts.test_security.LoginLockoutTests.test_successful_login_resets_the_count</t>
  </si>
  <si>
    <t xml:space="preserve">Successful login resets the count</t>
  </si>
  <si>
    <t xml:space="preserve">python manage.py test apps.accounts.test_security.LoginLockoutTests.test_successful_login_resets_the_count --settings=config.settings.test</t>
  </si>
  <si>
    <t xml:space="preserve">The lockout mustn't reveal which emails or mobiles have accounts.</t>
  </si>
  <si>
    <t xml:space="preserve">python manage.py test apps.accounts.test_security.LoginLockoutTests.test_unknown_accounts_lock_the_same_way --settings=config.settings.test</t>
  </si>
  <si>
    <t xml:space="preserve">apps.accounts.test_security.LoginLockoutTests.test_lockout_is_per_account</t>
  </si>
  <si>
    <t xml:space="preserve">Lockout is per account</t>
  </si>
  <si>
    <t xml:space="preserve">python manage.py test apps.accounts.test_security.LoginLockoutTests.test_lockout_is_per_account --settings=config.settings.test</t>
  </si>
  <si>
    <t xml:space="preserve">apps.accounts.test_security.LoginLockoutTests.test_password_reset_lifts_the_lockout</t>
  </si>
  <si>
    <t xml:space="preserve">Password reset lifts the lockout</t>
  </si>
  <si>
    <t xml:space="preserve">python manage.py test apps.accounts.test_security.LoginLockoutTests.test_password_reset_lifts_the_lockout --settings=config.settings.test</t>
  </si>
  <si>
    <t xml:space="preserve">apps.accounts.test_security.LoginLockoutTests.test_lockout_also_protects_the_admin_login</t>
  </si>
  <si>
    <t xml:space="preserve">Lockout also protects the admin login</t>
  </si>
  <si>
    <t xml:space="preserve">python manage.py test apps.accounts.test_security.LoginLockoutTests.test_lockout_also_protects_the_admin_login --settings=config.settings.test</t>
  </si>
  <si>
    <t xml:space="preserve">apps.accounts.test_security.LoginLockoutTests.test_lockout_expires</t>
  </si>
  <si>
    <t xml:space="preserve">Lockout expires</t>
  </si>
  <si>
    <t xml:space="preserve">python manage.py test apps.accounts.test_security.LoginLockoutTests.test_lockout_expires --settings=config.settings.test</t>
  </si>
  <si>
    <t xml:space="preserve">apps.accounts.tests.UserModelTests.test_create_with_email</t>
  </si>
  <si>
    <t xml:space="preserve">UserModelTests</t>
  </si>
  <si>
    <t xml:space="preserve">Create with email</t>
  </si>
  <si>
    <t xml:space="preserve">python manage.py test apps.accounts.tests.UserModelTests.test_create_with_email --settings=config.settings.test</t>
  </si>
  <si>
    <t xml:space="preserve">apps.accounts.tests.UserModelTests.test_create_with_mobile_only</t>
  </si>
  <si>
    <t xml:space="preserve">Create with mobile only</t>
  </si>
  <si>
    <t xml:space="preserve">python manage.py test apps.accounts.tests.UserModelTests.test_create_with_mobile_only --settings=config.settings.test</t>
  </si>
  <si>
    <t xml:space="preserve">apps.accounts.tests.UserModelTests.test_needs_email_or_mobile</t>
  </si>
  <si>
    <t xml:space="preserve">Needs email or mobile</t>
  </si>
  <si>
    <t xml:space="preserve">python manage.py test apps.accounts.tests.UserModelTests.test_needs_email_or_mobile --settings=config.settings.test</t>
  </si>
  <si>
    <t xml:space="preserve">apps.accounts.tests.UserModelTests.test_database_enforces_email_or_mobile</t>
  </si>
  <si>
    <t xml:space="preserve">Database enforces email or mobile</t>
  </si>
  <si>
    <t xml:space="preserve">python manage.py test apps.accounts.tests.UserModelTests.test_database_enforces_email_or_mobile --settings=config.settings.test</t>
  </si>
  <si>
    <t xml:space="preserve">apps.accounts.tests.UserModelTests.test_superuser</t>
  </si>
  <si>
    <t xml:space="preserve">Superuser</t>
  </si>
  <si>
    <t xml:space="preserve">python manage.py test apps.accounts.tests.UserModelTests.test_superuser --settings=config.settings.test</t>
  </si>
  <si>
    <t xml:space="preserve">apps.accounts.tests.LoginTests.test_login_with_email</t>
  </si>
  <si>
    <t xml:space="preserve">LoginTests</t>
  </si>
  <si>
    <t xml:space="preserve">Login with email</t>
  </si>
  <si>
    <t xml:space="preserve">python manage.py test apps.accounts.tests.LoginTests.test_login_with_email --settings=config.settings.test</t>
  </si>
  <si>
    <t xml:space="preserve">apps.accounts.tests.LoginTests.test_login_with_mobile</t>
  </si>
  <si>
    <t xml:space="preserve">Login with mobile</t>
  </si>
  <si>
    <t xml:space="preserve">python manage.py test apps.accounts.tests.LoginTests.test_login_with_mobile --settings=config.settings.test</t>
  </si>
  <si>
    <t xml:space="preserve">apps.accounts.tests.LoginTests.test_wrong_password</t>
  </si>
  <si>
    <t xml:space="preserve">python manage.py test apps.accounts.tests.LoginTests.test_wrong_password --settings=config.settings.test</t>
  </si>
  <si>
    <t xml:space="preserve">apps.accounts.tests.HealthTests.test_health</t>
  </si>
  <si>
    <t xml:space="preserve">HealthTests</t>
  </si>
  <si>
    <t xml:space="preserve">Health</t>
  </si>
  <si>
    <t xml:space="preserve">python manage.py test apps.accounts.tests.HealthTests.test_health --settings=config.settings.test</t>
  </si>
  <si>
    <t xml:space="preserve">apps.accounts.tests.HealthTests.test_health_is_503_when_the_database_is_unreachable</t>
  </si>
  <si>
    <t xml:space="preserve">Render must see a failing status, or a broken deploy would receive traffic.</t>
  </si>
  <si>
    <t xml:space="preserve">python manage.py test apps.accounts.tests.HealthTests.test_health_is_503_when_the_database_is_unreachable --settings=config.settings.test</t>
  </si>
  <si>
    <t xml:space="preserve">apps.accounts.tests.SeedTests.test_seed_is_idempotent</t>
  </si>
  <si>
    <t xml:space="preserve">SeedTests</t>
  </si>
  <si>
    <t xml:space="preserve">Seed is idempotent</t>
  </si>
  <si>
    <t xml:space="preserve">python manage.py test apps.accounts.tests.SeedTests.test_seed_is_idempotent --settings=config.settings.test</t>
  </si>
  <si>
    <t xml:space="preserve">apps.accounts.tests.GuardianConsentTests.test_new_student_awaits_consent</t>
  </si>
  <si>
    <t xml:space="preserve">GuardianConsentTests</t>
  </si>
  <si>
    <t xml:space="preserve">New student awaits consent</t>
  </si>
  <si>
    <t xml:space="preserve">python manage.py test apps.accounts.tests.GuardianConsentTests.test_new_student_awaits_consent --settings=config.settings.test</t>
  </si>
  <si>
    <t xml:space="preserve">Only one active primary guardian</t>
  </si>
  <si>
    <t xml:space="preserve">python manage.py test apps.accounts.tests.GuardianConsentTests.test_only_one_active_primary_guardian --settings=config.settings.test</t>
  </si>
  <si>
    <t xml:space="preserve">apps.accounts.tests.GuardianConsentTests.test_ended_link_frees_primary_slot</t>
  </si>
  <si>
    <t xml:space="preserve">Ended link frees primary slot</t>
  </si>
  <si>
    <t xml:space="preserve">python manage.py test apps.accounts.tests.GuardianConsentTests.test_ended_link_frees_primary_slot --settings=config.settings.test</t>
  </si>
  <si>
    <t xml:space="preserve">Consent record active until withdrawn</t>
  </si>
  <si>
    <t xml:space="preserve">python manage.py test apps.accounts.tests.GuardianConsentTests.test_consent_record_active_until_withdrawn --settings=config.settings.test</t>
  </si>
  <si>
    <t xml:space="preserve">TokenAndApprovalTests</t>
  </si>
  <si>
    <t xml:space="preserve">Link token stored only as hash</t>
  </si>
  <si>
    <t xml:space="preserve">python manage.py test apps.accounts.tests.TokenAndApprovalTests.test_link_token_stored_only_as_hash --settings=config.settings.test</t>
  </si>
  <si>
    <t xml:space="preserve">apps.accounts.tests.TokenAndApprovalTests.test_otp_is_six_digits</t>
  </si>
  <si>
    <t xml:space="preserve">Otp is six digits</t>
  </si>
  <si>
    <t xml:space="preserve">python manage.py test apps.accounts.tests.TokenAndApprovalTests.test_otp_is_six_digits --settings=config.settings.test</t>
  </si>
  <si>
    <t xml:space="preserve">apps.accounts.tests.TokenAndApprovalTests.test_approval_request_expiry</t>
  </si>
  <si>
    <t xml:space="preserve">Approval request expiry</t>
  </si>
  <si>
    <t xml:space="preserve">python manage.py test apps.accounts.tests.TokenAndApprovalTests.test_approval_request_expiry --settings=config.settings.test</t>
  </si>
  <si>
    <t xml:space="preserve">apps.accounts.tests.RoleTests.test_scoped_role</t>
  </si>
  <si>
    <t xml:space="preserve">RoleTests</t>
  </si>
  <si>
    <t xml:space="preserve">Scoped role</t>
  </si>
  <si>
    <t xml:space="preserve">python manage.py test apps.accounts.tests.RoleTests.test_scoped_role --settings=config.settings.test</t>
  </si>
  <si>
    <t xml:space="preserve">apps.accounts.tests.RoleTests.test_revoked_role</t>
  </si>
  <si>
    <t xml:space="preserve">Revoked role</t>
  </si>
  <si>
    <t xml:space="preserve">python manage.py test apps.accounts.tests.RoleTests.test_revoked_role --settings=config.settings.test</t>
  </si>
  <si>
    <t xml:space="preserve">apps.accounts.tests.RoleTests.test_no_duplicate_active_grant</t>
  </si>
  <si>
    <t xml:space="preserve">No duplicate active grant</t>
  </si>
  <si>
    <t xml:space="preserve">python manage.py test apps.accounts.tests.RoleTests.test_no_duplicate_active_grant --settings=config.settings.test</t>
  </si>
  <si>
    <t xml:space="preserve">apps.accounts.tests.DevToolsAreLockedTests.test_seed_test_accounts_refuses_without_dev_flags</t>
  </si>
  <si>
    <t xml:space="preserve">DevToolsAreLockedTests</t>
  </si>
  <si>
    <t xml:space="preserve">Seed test accounts refuses without dev flags</t>
  </si>
  <si>
    <t xml:space="preserve">python manage.py test apps.accounts.tests.DevToolsAreLockedTests.test_seed_test_accounts_refuses_without_dev_flags --settings=config.settings.test</t>
  </si>
  <si>
    <t xml:space="preserve">apps.accounts.tests.DevToolsAreLockedTests.test_dev_outbox_not_mounted_when_debug_off</t>
  </si>
  <si>
    <t xml:space="preserve">Dev outbox not mounted when debug off</t>
  </si>
  <si>
    <t xml:space="preserve">python manage.py test apps.accounts.tests.DevToolsAreLockedTests.test_dev_outbox_not_mounted_when_debug_off --settings=config.settings.test</t>
  </si>
  <si>
    <t xml:space="preserve">apps.catalogue.test_queries.PaginateConcatenatedTests.test_page_inside_first_source</t>
  </si>
  <si>
    <t xml:space="preserve">catalogue</t>
  </si>
  <si>
    <t xml:space="preserve">Performance (query budget)</t>
  </si>
  <si>
    <t xml:space="preserve">PaginateConcatenatedTests</t>
  </si>
  <si>
    <t xml:space="preserve">Page inside first source</t>
  </si>
  <si>
    <t xml:space="preserve">python manage.py test apps.catalogue.test_queries.PaginateConcatenatedTests.test_page_inside_first_source --settings=config.settings.test</t>
  </si>
  <si>
    <t xml:space="preserve">apps.catalogue.test_queries.PaginateConcatenatedTests.test_page_spanning_both_sources</t>
  </si>
  <si>
    <t xml:space="preserve">Page spanning both sources</t>
  </si>
  <si>
    <t xml:space="preserve">python manage.py test apps.catalogue.test_queries.PaginateConcatenatedTests.test_page_spanning_both_sources --settings=config.settings.test</t>
  </si>
  <si>
    <t xml:space="preserve">apps.catalogue.test_queries.PaginateConcatenatedTests.test_page_inside_second_source</t>
  </si>
  <si>
    <t xml:space="preserve">Page inside second source</t>
  </si>
  <si>
    <t xml:space="preserve">python manage.py test apps.catalogue.test_queries.PaginateConcatenatedTests.test_page_inside_second_source --settings=config.settings.test</t>
  </si>
  <si>
    <t xml:space="preserve">apps.catalogue.test_queries.PaginateConcatenatedTests.test_page_past_the_end</t>
  </si>
  <si>
    <t xml:space="preserve">Page past the end</t>
  </si>
  <si>
    <t xml:space="preserve">python manage.py test apps.catalogue.test_queries.PaginateConcatenatedTests.test_page_past_the_end --settings=config.settings.test</t>
  </si>
  <si>
    <t xml:space="preserve">apps.catalogue.test_queries.PaginateConcatenatedTests.test_no_sources</t>
  </si>
  <si>
    <t xml:space="preserve">No sources</t>
  </si>
  <si>
    <t xml:space="preserve">python manage.py test apps.catalogue.test_queries.PaginateConcatenatedTests.test_no_sources --settings=config.settings.test</t>
  </si>
  <si>
    <t xml:space="preserve">apps.catalogue.test_queries.CatalogueQueryTests.test_items_are_paginated_in_the_database</t>
  </si>
  <si>
    <t xml:space="preserve">CatalogueQueryTests</t>
  </si>
  <si>
    <t xml:space="preserve">Items are paginated in the database</t>
  </si>
  <si>
    <t xml:space="preserve">python manage.py test apps.catalogue.test_queries.CatalogueQueryTests.test_items_are_paginated_in_the_database --settings=config.settings.test</t>
  </si>
  <si>
    <t xml:space="preserve">apps.catalogue.test_queries.CatalogueQueryTests.test_items_spill_from_courses_into_programmes</t>
  </si>
  <si>
    <t xml:space="preserve">Items spill from courses into programmes</t>
  </si>
  <si>
    <t xml:space="preserve">python manage.py test apps.catalogue.test_queries.CatalogueQueryTests.test_items_spill_from_courses_into_programmes --settings=config.settings.test</t>
  </si>
  <si>
    <t xml:space="preserve">apps.catalogue.test_queries.CatalogueQueryTests.test_items_query_count_is_constant</t>
  </si>
  <si>
    <t xml:space="preserve">Items query count is constant</t>
  </si>
  <si>
    <t xml:space="preserve">python manage.py test apps.catalogue.test_queries.CatalogueQueryTests.test_items_query_count_is_constant --settings=config.settings.test</t>
  </si>
  <si>
    <t xml:space="preserve">apps.catalogue.test_queries.CatalogueQueryTests.test_items_with_board_filter_query_count_is_constant</t>
  </si>
  <si>
    <t xml:space="preserve">Items with board filter query count is constant</t>
  </si>
  <si>
    <t xml:space="preserve">python manage.py test apps.catalogue.test_queries.CatalogueQueryTests.test_items_with_board_filter_query_count_is_constant --settings=config.settings.test</t>
  </si>
  <si>
    <t xml:space="preserve">apps.catalogue.test_queries.CatalogueQueryTests.test_facets_query_count_is_constant</t>
  </si>
  <si>
    <t xml:space="preserve">Facets query count is constant</t>
  </si>
  <si>
    <t xml:space="preserve">python manage.py test apps.catalogue.test_queries.CatalogueQueryTests.test_facets_query_count_is_constant --settings=config.settings.test</t>
  </si>
  <si>
    <t xml:space="preserve">apps.catalogue.test_queries.CatalogueQueryTests.test_course_detail_query_count_is_constant</t>
  </si>
  <si>
    <t xml:space="preserve">Course detail query count is constant</t>
  </si>
  <si>
    <t xml:space="preserve">python manage.py test apps.catalogue.test_queries.CatalogueQueryTests.test_course_detail_query_count_is_constant --settings=config.settings.test</t>
  </si>
  <si>
    <t xml:space="preserve">apps.catalogue.test_queries.CatalogueQueryTests.test_course_detail_marks_lessons_without_content</t>
  </si>
  <si>
    <t xml:space="preserve">Course detail marks lessons without content</t>
  </si>
  <si>
    <t xml:space="preserve">python manage.py test apps.catalogue.test_queries.CatalogueQueryTests.test_course_detail_marks_lessons_without_content --settings=config.settings.test</t>
  </si>
  <si>
    <t xml:space="preserve">apps.catalogue.test_queries.CatalogueQueryTests.test_programme_detail_query_count_is_constant</t>
  </si>
  <si>
    <t xml:space="preserve">Programme detail query count is constant</t>
  </si>
  <si>
    <t xml:space="preserve">python manage.py test apps.catalogue.test_queries.CatalogueQueryTests.test_programme_detail_query_count_is_constant --settings=config.settings.test</t>
  </si>
  <si>
    <t xml:space="preserve">CatalogueApiTests</t>
  </si>
  <si>
    <t xml:space="preserve">python manage.py test apps.catalogue.tests.CatalogueApiTests.test_facets --settings=config.settings.test</t>
  </si>
  <si>
    <t xml:space="preserve">apps.catalogue.tests.CatalogueApiTests.test_items_lists_published_only</t>
  </si>
  <si>
    <t xml:space="preserve">Items lists published only</t>
  </si>
  <si>
    <t xml:space="preserve">python manage.py test apps.catalogue.tests.CatalogueApiTests.test_items_lists_published_only --settings=config.settings.test</t>
  </si>
  <si>
    <t xml:space="preserve">apps.catalogue.tests.CatalogueApiTests.test_board_filter_keeps_board_independent_courses</t>
  </si>
  <si>
    <t xml:space="preserve">Board filter keeps board independent courses</t>
  </si>
  <si>
    <t xml:space="preserve">python manage.py test apps.catalogue.tests.CatalogueApiTests.test_board_filter_keeps_board_independent_courses --settings=config.settings.test</t>
  </si>
  <si>
    <t xml:space="preserve">apps.catalogue.tests.CatalogueApiTests.test_class_filter</t>
  </si>
  <si>
    <t xml:space="preserve">Class filter</t>
  </si>
  <si>
    <t xml:space="preserve">python manage.py test apps.catalogue.tests.CatalogueApiTests.test_class_filter --settings=config.settings.test</t>
  </si>
  <si>
    <t xml:space="preserve">apps.catalogue.tests.CatalogueApiTests.test_pagination</t>
  </si>
  <si>
    <t xml:space="preserve">python manage.py test apps.catalogue.tests.CatalogueApiTests.test_pagination --settings=config.settings.test</t>
  </si>
  <si>
    <t xml:space="preserve">apps.catalogue.tests.CatalogueApiTests.test_course_detail</t>
  </si>
  <si>
    <t xml:space="preserve">Course detail</t>
  </si>
  <si>
    <t xml:space="preserve">python manage.py test apps.catalogue.tests.CatalogueApiTests.test_course_detail --settings=config.settings.test</t>
  </si>
  <si>
    <t xml:space="preserve">apps.catalogue.tests.CatalogueApiTests.test_draft_course_is_404</t>
  </si>
  <si>
    <t xml:space="preserve">Draft course is 404</t>
  </si>
  <si>
    <t xml:space="preserve">python manage.py test apps.catalogue.tests.CatalogueApiTests.test_draft_course_is_404 --settings=config.settings.test</t>
  </si>
  <si>
    <t xml:space="preserve">Programme detail</t>
  </si>
  <si>
    <t xml:space="preserve">python manage.py test apps.catalogue.tests.CatalogueApiTests.test_programme_detail --settings=config.settings.test</t>
  </si>
  <si>
    <t xml:space="preserve">apps.catalogue.tests.CatalogueApiTests.test_free_lesson_preview</t>
  </si>
  <si>
    <t xml:space="preserve">Free lesson preview</t>
  </si>
  <si>
    <t xml:space="preserve">python manage.py test apps.catalogue.tests.CatalogueApiTests.test_free_lesson_preview --settings=config.settings.test</t>
  </si>
  <si>
    <t xml:space="preserve">Paid lesson preview is blocked</t>
  </si>
  <si>
    <t xml:space="preserve">python manage.py test apps.catalogue.tests.CatalogueApiTests.test_paid_lesson_preview_is_blocked --settings=config.settings.test</t>
  </si>
  <si>
    <t xml:space="preserve">apps.catalogue.tests.CatalogueApiTests.test_demo_seed_is_idempotent</t>
  </si>
  <si>
    <t xml:space="preserve">Demo seed is idempotent</t>
  </si>
  <si>
    <t xml:space="preserve">python manage.py test apps.catalogue.tests.CatalogueApiTests.test_demo_seed_is_idempotent --settings=config.settings.test</t>
  </si>
  <si>
    <t xml:space="preserve">apps.catalogue.tests.ContentVersionTests.test_publishing_archives_previous</t>
  </si>
  <si>
    <t xml:space="preserve">ContentVersionTests</t>
  </si>
  <si>
    <t xml:space="preserve">Publishing archives previous</t>
  </si>
  <si>
    <t xml:space="preserve">python manage.py test apps.catalogue.tests.ContentVersionTests.test_publishing_archives_previous --settings=config.settings.test</t>
  </si>
  <si>
    <t xml:space="preserve">Only approved can be published</t>
  </si>
  <si>
    <t xml:space="preserve">python manage.py test apps.catalogue.tests.ContentVersionTests.test_only_approved_can_be_published --settings=config.settings.test</t>
  </si>
  <si>
    <t xml:space="preserve">Reviewer cannot be author</t>
  </si>
  <si>
    <t xml:space="preserve">python manage.py test apps.catalogue.tests.ContentVersionTests.test_reviewer_cannot_be_author --settings=config.settings.test</t>
  </si>
  <si>
    <t xml:space="preserve">apps.catalogue.tests.ContentVersionTests.test_one_published_version_per_lesson</t>
  </si>
  <si>
    <t xml:space="preserve">One published version per lesson</t>
  </si>
  <si>
    <t xml:space="preserve">python manage.py test apps.catalogue.tests.ContentVersionTests.test_one_published_version_per_lesson --settings=config.settings.test</t>
  </si>
  <si>
    <t xml:space="preserve">apps.content.tests.PublishPermissionTests.test_reviewer_without_lead_role_cannot_publish</t>
  </si>
  <si>
    <t xml:space="preserve">content</t>
  </si>
  <si>
    <t xml:space="preserve">PublishPermissionTests</t>
  </si>
  <si>
    <t xml:space="preserve">Reviewer without lead role cannot publish</t>
  </si>
  <si>
    <t xml:space="preserve">python manage.py test apps.content.tests.PublishPermissionTests.test_reviewer_without_lead_role_cannot_publish --settings=config.settings.test</t>
  </si>
  <si>
    <t xml:space="preserve">apps.content.tests.PublishPermissionTests.test_staff_flag_alone_is_not_enough</t>
  </si>
  <si>
    <t xml:space="preserve">Staff flag alone is not enough</t>
  </si>
  <si>
    <t xml:space="preserve">python manage.py test apps.content.tests.PublishPermissionTests.test_staff_flag_alone_is_not_enough --settings=config.settings.test</t>
  </si>
  <si>
    <t xml:space="preserve">apps.content.tests.PublishPermissionTests.test_lead_for_subject_and_class</t>
  </si>
  <si>
    <t xml:space="preserve">Lead for subject and class</t>
  </si>
  <si>
    <t xml:space="preserve">python manage.py test apps.content.tests.PublishPermissionTests.test_lead_for_subject_and_class --settings=config.settings.test</t>
  </si>
  <si>
    <t xml:space="preserve">apps.content.tests.PublishPermissionTests.test_subject_wide_lead_covers_every_class</t>
  </si>
  <si>
    <t xml:space="preserve">Subject wide lead covers every class</t>
  </si>
  <si>
    <t xml:space="preserve">python manage.py test apps.content.tests.PublishPermissionTests.test_subject_wide_lead_covers_every_class --settings=config.settings.test</t>
  </si>
  <si>
    <t xml:space="preserve">apps.content.tests.PublishPermissionTests.test_class_scoped_lead_does_not_own_board_independent_courses</t>
  </si>
  <si>
    <t xml:space="preserve">Class scoped lead does not own board independent courses</t>
  </si>
  <si>
    <t xml:space="preserve">python manage.py test apps.content.tests.PublishPermissionTests.test_class_scoped_lead_does_not_own_board_independent_courses --settings=config.settings.test</t>
  </si>
  <si>
    <t xml:space="preserve">apps.content.tests.PublishPermissionTests.test_revoked_grant</t>
  </si>
  <si>
    <t xml:space="preserve">Revoked grant</t>
  </si>
  <si>
    <t xml:space="preserve">python manage.py test apps.content.tests.PublishPermissionTests.test_revoked_grant --settings=config.settings.test</t>
  </si>
  <si>
    <t xml:space="preserve">apps.content.tests.PublishPermissionTests.test_other_roles_do_not_publish</t>
  </si>
  <si>
    <t xml:space="preserve">Other roles do not publish</t>
  </si>
  <si>
    <t xml:space="preserve">python manage.py test apps.content.tests.PublishPermissionTests.test_other_roles_do_not_publish --settings=config.settings.test</t>
  </si>
  <si>
    <t xml:space="preserve">apps.content.tests.PublishPermissionTests.test_inactive_lead</t>
  </si>
  <si>
    <t xml:space="preserve">Inactive lead</t>
  </si>
  <si>
    <t xml:space="preserve">python manage.py test apps.content.tests.PublishPermissionTests.test_inactive_lead --settings=config.settings.test</t>
  </si>
  <si>
    <t xml:space="preserve">apps.content.tests.PublishPermissionTests.test_super_admins</t>
  </si>
  <si>
    <t xml:space="preserve">Super admins</t>
  </si>
  <si>
    <t xml:space="preserve">python manage.py test apps.content.tests.PublishPermissionTests.test_super_admins --settings=config.settings.test</t>
  </si>
  <si>
    <t xml:space="preserve">apps.content.tests.PublishPermissionTests.test_question_publishing_follows_the_same_rule</t>
  </si>
  <si>
    <t xml:space="preserve">Question publishing follows the same rule</t>
  </si>
  <si>
    <t xml:space="preserve">python manage.py test apps.content.tests.PublishPermissionTests.test_question_publishing_follows_the_same_rule --settings=config.settings.test</t>
  </si>
  <si>
    <t xml:space="preserve">apps.content.tests.PublishPermissionTests.test_bank_question_without_a_lesson_needs_a_super_admin</t>
  </si>
  <si>
    <t xml:space="preserve">Bank question without a lesson needs a super admin</t>
  </si>
  <si>
    <t xml:space="preserve">python manage.py test apps.content.tests.PublishPermissionTests.test_bank_question_without_a_lesson_needs_a_super_admin --settings=config.settings.test</t>
  </si>
  <si>
    <t xml:space="preserve">apps.content.tests.AdminPublishingTests.test_staff_without_role_is_refused</t>
  </si>
  <si>
    <t xml:space="preserve">AdminPublishingTests</t>
  </si>
  <si>
    <t xml:space="preserve">Staff without role is refused</t>
  </si>
  <si>
    <t xml:space="preserve">TC-ADM-09, TC-SEC-17</t>
  </si>
  <si>
    <t xml:space="preserve">python manage.py test apps.content.tests.AdminPublishingTests.test_staff_without_role_is_refused --settings=config.settings.test</t>
  </si>
  <si>
    <t xml:space="preserve">apps.content.tests.AdminPublishingTests.test_lead_publishes_and_it_is_audited</t>
  </si>
  <si>
    <t xml:space="preserve">Lead publishes and it is audited</t>
  </si>
  <si>
    <t xml:space="preserve">python manage.py test apps.content.tests.AdminPublishingTests.test_lead_publishes_and_it_is_audited --settings=config.settings.test</t>
  </si>
  <si>
    <t xml:space="preserve">Question publish action</t>
  </si>
  <si>
    <t xml:space="preserve">python manage.py test apps.content.tests.AdminPublishingTests.test_question_publish_action --settings=config.settings.test</t>
  </si>
  <si>
    <t xml:space="preserve">apps.content.tests.AdminPublishingTests.test_status_cannot_be_typed_in_as_published</t>
  </si>
  <si>
    <t xml:space="preserve">Status cannot be typed in as published</t>
  </si>
  <si>
    <t xml:space="preserve">python manage.py test apps.content.tests.AdminPublishingTests.test_status_cannot_be_typed_in_as_published --settings=config.settings.test</t>
  </si>
  <si>
    <t xml:space="preserve">apps.content.tests.AdminPublishingTests.test_published_status_cannot_be_changed_back_in_the_form</t>
  </si>
  <si>
    <t xml:space="preserve">Published status cannot be changed back in the form</t>
  </si>
  <si>
    <t xml:space="preserve">TC-ADM-10, TC-SEC-08</t>
  </si>
  <si>
    <t xml:space="preserve">python manage.py test apps.content.tests.AdminPublishingTests.test_published_status_cannot_be_changed_back_in_the_form --settings=config.settings.test</t>
  </si>
  <si>
    <t xml:space="preserve">apps.content.tests.RoleAdminTests.test_only_super_admins_grant_roles</t>
  </si>
  <si>
    <t xml:space="preserve">RoleAdminTests</t>
  </si>
  <si>
    <t xml:space="preserve">Only super admins grant roles</t>
  </si>
  <si>
    <t xml:space="preserve">TC-DEMO-10, TC-SEC-18</t>
  </si>
  <si>
    <t xml:space="preserve">python manage.py test apps.content.tests.RoleAdminTests.test_only_super_admins_grant_roles --settings=config.settings.test</t>
  </si>
  <si>
    <t xml:space="preserve">apps.content.tests.RoleAdminTests.test_granting_a_role_is_recorded</t>
  </si>
  <si>
    <t xml:space="preserve">Granting a role is recorded</t>
  </si>
  <si>
    <t xml:space="preserve">python manage.py test apps.content.tests.RoleAdminTests.test_granting_a_role_is_recorded --settings=config.settings.test</t>
  </si>
  <si>
    <t xml:space="preserve">apps.content.tests.RoleAdminTests.test_staff_cannot_give_themselves_admin_access</t>
  </si>
  <si>
    <t xml:space="preserve">Staff cannot give themselves admin access</t>
  </si>
  <si>
    <t xml:space="preserve">python manage.py test apps.content.tests.RoleAdminTests.test_staff_cannot_give_themselves_admin_access --settings=config.settings.test</t>
  </si>
  <si>
    <t xml:space="preserve">apps.core.test_errors_and_logging.RequestIdTests.test_generated_and_returned</t>
  </si>
  <si>
    <t xml:space="preserve">core</t>
  </si>
  <si>
    <t xml:space="preserve">RequestIdTests</t>
  </si>
  <si>
    <t xml:space="preserve">Generated and returned</t>
  </si>
  <si>
    <t xml:space="preserve">python manage.py test apps.core.test_errors_and_logging.RequestIdTests.test_generated_and_returned --settings=config.settings.test</t>
  </si>
  <si>
    <t xml:space="preserve">apps.core.test_errors_and_logging.RequestIdTests.test_well_formed_incoming_id_is_kept</t>
  </si>
  <si>
    <t xml:space="preserve">Well formed incoming id is kept</t>
  </si>
  <si>
    <t xml:space="preserve">python manage.py test apps.core.test_errors_and_logging.RequestIdTests.test_well_formed_incoming_id_is_kept --settings=config.settings.test</t>
  </si>
  <si>
    <t xml:space="preserve">apps.core.test_errors_and_logging.RequestIdTests.test_malformed_incoming_id_is_replaced</t>
  </si>
  <si>
    <t xml:space="preserve">Malformed incoming id is replaced</t>
  </si>
  <si>
    <t xml:space="preserve">python manage.py test apps.core.test_errors_and_logging.RequestIdTests.test_malformed_incoming_id_is_replaced --settings=config.settings.test</t>
  </si>
  <si>
    <t xml:space="preserve">apps.core.test_errors_and_logging.ApiErrorShapeTests.test_error_body_carries_the_request_id</t>
  </si>
  <si>
    <t xml:space="preserve">ApiErrorShapeTests</t>
  </si>
  <si>
    <t xml:space="preserve">Error body carries the request id</t>
  </si>
  <si>
    <t xml:space="preserve">python manage.py test apps.core.test_errors_and_logging.ApiErrorShapeTests.test_error_body_carries_the_request_id --settings=config.settings.test</t>
  </si>
  <si>
    <t xml:space="preserve">apps.core.test_errors_and_logging.ApiErrorShapeTests.test_unexpected_exception_is_a_clean_500_and_logged_once_with_traceback</t>
  </si>
  <si>
    <t xml:space="preserve">Unexpected exception is a clean 500 and logged once with traceback</t>
  </si>
  <si>
    <t xml:space="preserve">python manage.py test apps.core.test_errors_and_logging.ApiErrorShapeTests.test_unexpected_exception_is_a_clean_500_and_logged_once_with_traceback --settings=config.settings.test</t>
  </si>
  <si>
    <t xml:space="preserve">apps.core.test_errors_and_logging.ApiErrorShapeTests.test_request_id_filter_stamps_records</t>
  </si>
  <si>
    <t xml:space="preserve">Request id filter stamps records</t>
  </si>
  <si>
    <t xml:space="preserve">python manage.py test apps.core.test_errors_and_logging.ApiErrorShapeTests.test_request_id_filter_stamps_records --settings=config.settings.test</t>
  </si>
  <si>
    <t xml:space="preserve">apps.core.test_errors_and_logging.ApiErrorShapeTests.test_http404_raised_in_code_uses_the_api_shape</t>
  </si>
  <si>
    <t xml:space="preserve">Http404 raised in code uses the api shape</t>
  </si>
  <si>
    <t xml:space="preserve">python manage.py test apps.core.test_errors_and_logging.ApiErrorShapeTests.test_http404_raised_in_code_uses_the_api_shape --settings=config.settings.test</t>
  </si>
  <si>
    <t xml:space="preserve">apps.core.test_errors_and_logging.ApiErrorShapeTests.test_unknown_api_url_is_json_404</t>
  </si>
  <si>
    <t xml:space="preserve">Unknown api url is json 404</t>
  </si>
  <si>
    <t xml:space="preserve">python manage.py test apps.core.test_errors_and_logging.ApiErrorShapeTests.test_unknown_api_url_is_json_404 --settings=config.settings.test</t>
  </si>
  <si>
    <t xml:space="preserve">apps.core.test_errors_and_logging.ApiErrorShapeTests.test_django_level_handlers</t>
  </si>
  <si>
    <t xml:space="preserve">Django level handlers</t>
  </si>
  <si>
    <t xml:space="preserve">python manage.py test apps.core.test_errors_and_logging.ApiErrorShapeTests.test_django_level_handlers --settings=config.settings.test</t>
  </si>
  <si>
    <t xml:space="preserve">apps.core.test_errors_and_logging.RotatingLogTests.test_console_only_without_a_log_dir</t>
  </si>
  <si>
    <t xml:space="preserve">RotatingLogTests</t>
  </si>
  <si>
    <t xml:space="preserve">Console only without a log dir</t>
  </si>
  <si>
    <t xml:space="preserve">python manage.py test apps.core.test_errors_and_logging.RotatingLogTests.test_console_only_without_a_log_dir --settings=config.settings.test</t>
  </si>
  <si>
    <t xml:space="preserve">apps.core.test_errors_and_logging.RotatingLogTests.test_rotating_files_when_a_log_dir_is_set</t>
  </si>
  <si>
    <t xml:space="preserve">Rotating files when a log dir is set</t>
  </si>
  <si>
    <t xml:space="preserve">python manage.py test apps.core.test_errors_and_logging.RotatingLogTests.test_rotating_files_when_a_log_dir_is_set --settings=config.settings.test</t>
  </si>
  <si>
    <t xml:space="preserve">apps.core.test_errors_and_logging.MessagingSecretsTests.test_mask</t>
  </si>
  <si>
    <t xml:space="preserve">MessagingSecretsTests</t>
  </si>
  <si>
    <t xml:space="preserve">Mask</t>
  </si>
  <si>
    <t xml:space="preserve">python manage.py test apps.core.test_errors_and_logging.MessagingSecretsTests.test_mask --settings=config.settings.test</t>
  </si>
  <si>
    <t xml:space="preserve">apps.core.test_errors_and_logging.MessagingSecretsTests.test_hosted_mode_never_logs_or_keeps_the_text</t>
  </si>
  <si>
    <t xml:space="preserve">Hosted mode never logs or keeps the text</t>
  </si>
  <si>
    <t xml:space="preserve">python manage.py test apps.core.test_errors_and_logging.MessagingSecretsTests.test_hosted_mode_never_logs_or_keeps_the_text --settings=config.settings.test</t>
  </si>
  <si>
    <t xml:space="preserve">apps.core.test_errors_and_logging.MessagingSecretsTests.test_outbox_is_bounded</t>
  </si>
  <si>
    <t xml:space="preserve">Outbox is bounded</t>
  </si>
  <si>
    <t xml:space="preserve">python manage.py test apps.core.test_errors_and_logging.MessagingSecretsTests.test_outbox_is_bounded --settings=config.settings.test</t>
  </si>
  <si>
    <t xml:space="preserve">apps.core.tests.DevOutboxTests.test_newest_first_and_filtered_by_recipient</t>
  </si>
  <si>
    <t xml:space="preserve">DevOutboxTests</t>
  </si>
  <si>
    <t xml:space="preserve">Newest first and filtered by recipient</t>
  </si>
  <si>
    <t xml:space="preserve">python manage.py test apps.core.tests.DevOutboxTests.test_newest_first_and_filtered_by_recipient --settings=config.settings.test</t>
  </si>
  <si>
    <t xml:space="preserve">apps.core.tests.DevOutboxTests.test_limit_is_clamped</t>
  </si>
  <si>
    <t xml:space="preserve">Limit is clamped</t>
  </si>
  <si>
    <t xml:space="preserve">python manage.py test apps.core.tests.DevOutboxTests.test_limit_is_clamped --settings=config.settings.test</t>
  </si>
  <si>
    <t xml:space="preserve">AuditLogAdminTests</t>
  </si>
  <si>
    <t xml:space="preserve">Audit log is read only even for superusers</t>
  </si>
  <si>
    <t xml:space="preserve">python manage.py test apps.core.tests.AuditLogAdminTests.test_audit_log_is_read_only_even_for_superusers --settings=config.settings.test</t>
  </si>
  <si>
    <t xml:space="preserve">apps.core.tests.RootPageTests.test_root_points_to_the_api</t>
  </si>
  <si>
    <t xml:space="preserve">RootPageTests</t>
  </si>
  <si>
    <t xml:space="preserve">Root points to the api</t>
  </si>
  <si>
    <t xml:space="preserve">python manage.py test apps.core.tests.RootPageTests.test_root_points_to_the_api --settings=config.settings.test</t>
  </si>
  <si>
    <t xml:space="preserve">apps.core.tests.RootPageTests.test_root_is_read_only</t>
  </si>
  <si>
    <t xml:space="preserve">Root is read only</t>
  </si>
  <si>
    <t xml:space="preserve">python manage.py test apps.core.tests.RootPageTests.test_root_is_read_only --settings=config.settings.test</t>
  </si>
  <si>
    <t xml:space="preserve">apps.demo.tests.ContentFileTests.test_shipped_files_are_valid</t>
  </si>
  <si>
    <t xml:space="preserve">demo</t>
  </si>
  <si>
    <t xml:space="preserve">ContentFileTests</t>
  </si>
  <si>
    <t xml:space="preserve">Shipped files are valid</t>
  </si>
  <si>
    <t xml:space="preserve">python manage.py test apps.demo.tests.ContentFileTests.test_shipped_files_are_valid --settings=config.settings.test</t>
  </si>
  <si>
    <t xml:space="preserve">apps.demo.tests.ContentFileTests.test_answer_out_of_range_is_rejected</t>
  </si>
  <si>
    <t xml:space="preserve">Answer out of range is rejected</t>
  </si>
  <si>
    <t xml:space="preserve">python manage.py test apps.demo.tests.ContentFileTests.test_answer_out_of_range_is_rejected --settings=config.settings.test</t>
  </si>
  <si>
    <t xml:space="preserve">apps.demo.tests.ContentFileTests.test_duplicate_options_are_rejected</t>
  </si>
  <si>
    <t xml:space="preserve">Duplicate options are rejected</t>
  </si>
  <si>
    <t xml:space="preserve">python manage.py test apps.demo.tests.ContentFileTests.test_duplicate_options_are_rejected --settings=config.settings.test</t>
  </si>
  <si>
    <t xml:space="preserve">apps.demo.tests.ContentFileTests.test_question_on_untaught_skill_is_rejected</t>
  </si>
  <si>
    <t xml:space="preserve">Question on untaught skill is rejected</t>
  </si>
  <si>
    <t xml:space="preserve">python manage.py test apps.demo.tests.ContentFileTests.test_question_on_untaught_skill_is_rejected --settings=config.settings.test</t>
  </si>
  <si>
    <t xml:space="preserve">apps.demo.tests.ContentFileTests.test_misconception_on_the_correct_option_is_rejected</t>
  </si>
  <si>
    <t xml:space="preserve">Misconception on the correct option is rejected</t>
  </si>
  <si>
    <t xml:space="preserve">python manage.py test apps.demo.tests.ContentFileTests.test_misconception_on_the_correct_option_is_rejected --settings=config.settings.test</t>
  </si>
  <si>
    <t xml:space="preserve">apps.demo.tests.ContentFileTests.test_missing_explanation_is_rejected</t>
  </si>
  <si>
    <t xml:space="preserve">Missing explanation is rejected</t>
  </si>
  <si>
    <t xml:space="preserve">python manage.py test apps.demo.tests.ContentFileTests.test_missing_explanation_is_rejected --settings=config.settings.test</t>
  </si>
  <si>
    <t xml:space="preserve">apps.demo.tests.ContentFileTests.test_unknown_prerequisite_is_rejected</t>
  </si>
  <si>
    <t xml:space="preserve">Unknown prerequisite is rejected</t>
  </si>
  <si>
    <t xml:space="preserve">python manage.py test apps.demo.tests.ContentFileTests.test_unknown_prerequisite_is_rejected --settings=config.settings.test</t>
  </si>
  <si>
    <t xml:space="preserve">apps.demo.tests.ContentFileTests.test_bad_free_module_is_rejected</t>
  </si>
  <si>
    <t xml:space="preserve">Bad free module is rejected</t>
  </si>
  <si>
    <t xml:space="preserve">python manage.py test apps.demo.tests.ContentFileTests.test_bad_free_module_is_rejected --settings=config.settings.test</t>
  </si>
  <si>
    <t xml:space="preserve">apps.demo.tests.ContentFileTests.test_programme_with_unknown_course_is_rejected</t>
  </si>
  <si>
    <t xml:space="preserve">Programme with unknown course is rejected</t>
  </si>
  <si>
    <t xml:space="preserve">python manage.py test apps.demo.tests.ContentFileTests.test_programme_with_unknown_course_is_rejected --settings=config.settings.test</t>
  </si>
  <si>
    <t xml:space="preserve">apps.demo.tests.StudyTimeTests.test_study_time_is_10am_ist_and_never_in_the_future</t>
  </si>
  <si>
    <t xml:space="preserve">StudyTimeTests</t>
  </si>
  <si>
    <t xml:space="preserve">Study time is 10am ist and never in the future</t>
  </si>
  <si>
    <t xml:space="preserve">python manage.py test apps.demo.tests.StudyTimeTests.test_study_time_is_10am_ist_and_never_in_the_future --settings=config.settings.test</t>
  </si>
  <si>
    <t xml:space="preserve">apps.demo.tests.SeedGuardTests.test_refuses_without_the_demo_flag</t>
  </si>
  <si>
    <t xml:space="preserve">Demo data</t>
  </si>
  <si>
    <t xml:space="preserve">SeedGuardTests</t>
  </si>
  <si>
    <t xml:space="preserve">Refuses without the demo flag</t>
  </si>
  <si>
    <t xml:space="preserve">python manage.py test apps.demo.tests.SeedGuardTests.test_refuses_without_the_demo_flag --settings=config.settings.test</t>
  </si>
  <si>
    <t xml:space="preserve">apps.demo.tests.SeedGuardTests.test_refuses_a_weak_password</t>
  </si>
  <si>
    <t xml:space="preserve">Refuses a weak password</t>
  </si>
  <si>
    <t xml:space="preserve">python manage.py test apps.demo.tests.SeedGuardTests.test_refuses_a_weak_password --settings=config.settings.test</t>
  </si>
  <si>
    <t xml:space="preserve">apps.demo.tests.SeedGuardTests.test_without_password_loads_content_but_no_people</t>
  </si>
  <si>
    <t xml:space="preserve">Without password loads content but no people</t>
  </si>
  <si>
    <t xml:space="preserve">python manage.py test apps.demo.tests.SeedGuardTests.test_without_password_loads_content_but_no_people --settings=config.settings.test</t>
  </si>
  <si>
    <t xml:space="preserve">apps.demo.tests.DemoWorldTests.test_catalogue</t>
  </si>
  <si>
    <t xml:space="preserve">DemoWorldTests</t>
  </si>
  <si>
    <t xml:space="preserve">python manage.py test apps.demo.tests.DemoWorldTests.test_catalogue --settings=config.settings.test</t>
  </si>
  <si>
    <t xml:space="preserve">Draft course is hidden from the public catalogue</t>
  </si>
  <si>
    <t xml:space="preserve">python manage.py test apps.demo.tests.DemoWorldTests.test_draft_course_is_hidden_from_the_public_catalogue --settings=config.settings.test</t>
  </si>
  <si>
    <t xml:space="preserve">Everyone logs in with the demo password</t>
  </si>
  <si>
    <t xml:space="preserve">python manage.py test apps.demo.tests.DemoWorldTests.test_everyone_logs_in_with_the_demo_password --settings=config.settings.test</t>
  </si>
  <si>
    <t xml:space="preserve">apps.demo.tests.DemoWorldTests.test_student_states</t>
  </si>
  <si>
    <t xml:space="preserve">python manage.py test apps.demo.tests.DemoWorldTests.test_student_states --settings=config.settings.test</t>
  </si>
  <si>
    <t xml:space="preserve">apps.demo.tests.DemoWorldTests.test_four_product_admins</t>
  </si>
  <si>
    <t xml:space="preserve">Four product admins</t>
  </si>
  <si>
    <t xml:space="preserve">python manage.py test apps.demo.tests.DemoWorldTests.test_four_product_admins --settings=config.settings.test</t>
  </si>
  <si>
    <t xml:space="preserve">Publishing rights match the roles</t>
  </si>
  <si>
    <t xml:space="preserve">TC-DEMO-08, TC-DEMO-09</t>
  </si>
  <si>
    <t xml:space="preserve">python manage.py test apps.demo.tests.DemoWorldTests.test_publishing_rights_match_the_roles --settings=config.settings.test</t>
  </si>
  <si>
    <t xml:space="preserve">Content waiting in every review state</t>
  </si>
  <si>
    <t xml:space="preserve">TC-DEMO-07, TC-DEMO-11</t>
  </si>
  <si>
    <t xml:space="preserve">python manage.py test apps.demo.tests.DemoWorldTests.test_content_waiting_in_every_review_state --settings=config.settings.test</t>
  </si>
  <si>
    <t xml:space="preserve">apps.demo.tests.DemoWorldTests.test_learning_history</t>
  </si>
  <si>
    <t xml:space="preserve">Learning history</t>
  </si>
  <si>
    <t xml:space="preserve">TC-DEMO-04, TC-DEMO-05</t>
  </si>
  <si>
    <t xml:space="preserve">python manage.py test apps.demo.tests.DemoWorldTests.test_learning_history --settings=config.settings.test</t>
  </si>
  <si>
    <t xml:space="preserve">apps.demo.tests.DemoWorldTests.test_paused_student_keeps_history_but_is_blocked</t>
  </si>
  <si>
    <t xml:space="preserve">Paused student keeps history but is blocked</t>
  </si>
  <si>
    <t xml:space="preserve">python manage.py test apps.demo.tests.DemoWorldTests.test_paused_student_keeps_history_but_is_blocked --settings=config.settings.test</t>
  </si>
  <si>
    <t xml:space="preserve">apps.demo.tests.DemoWorldTests.test_kabir_sees_his_record_and_a_review_item</t>
  </si>
  <si>
    <t xml:space="preserve">Kabir sees his record and a review item</t>
  </si>
  <si>
    <t xml:space="preserve">python manage.py test apps.demo.tests.DemoWorldTests.test_kabir_sees_his_record_and_a_review_item --settings=config.settings.test</t>
  </si>
  <si>
    <t xml:space="preserve">apps.demo.tests.DemoWorldTests.test_running_again_changes_nothing</t>
  </si>
  <si>
    <t xml:space="preserve">Running again changes nothing</t>
  </si>
  <si>
    <t xml:space="preserve">python manage.py test apps.demo.tests.DemoWorldTests.test_running_again_changes_nothing --settings=config.settings.test</t>
  </si>
  <si>
    <t xml:space="preserve">apps.demo.tests.DemoWorldTests.test_reset_activity_rebuilds_history</t>
  </si>
  <si>
    <t xml:space="preserve">Reset activity rebuilds history</t>
  </si>
  <si>
    <t xml:space="preserve">python manage.py test apps.demo.tests.DemoWorldTests.test_reset_activity_rebuilds_history --settings=config.settings.test</t>
  </si>
  <si>
    <t xml:space="preserve">apps.learning.test_queries.LearningQueryTests.test_open_lesson</t>
  </si>
  <si>
    <t xml:space="preserve">learning</t>
  </si>
  <si>
    <t xml:space="preserve">LearningQueryTests</t>
  </si>
  <si>
    <t xml:space="preserve">Open lesson</t>
  </si>
  <si>
    <t xml:space="preserve">python manage.py test apps.learning.test_queries.LearningQueryTests.test_open_lesson --settings=config.settings.test</t>
  </si>
  <si>
    <t xml:space="preserve">Resume quiz</t>
  </si>
  <si>
    <t xml:space="preserve">python manage.py test apps.learning.test_queries.LearningQueryTests.test_resume_quiz --settings=config.settings.test</t>
  </si>
  <si>
    <t xml:space="preserve">apps.learning.test_queries.LearningQueryTests.test_new_quiz_attempt_does_not_query_per_question</t>
  </si>
  <si>
    <t xml:space="preserve">New quiz attempt does not query per question</t>
  </si>
  <si>
    <t xml:space="preserve">python manage.py test apps.learning.test_queries.LearningQueryTests.test_new_quiz_attempt_does_not_query_per_question --settings=config.settings.test</t>
  </si>
  <si>
    <t xml:space="preserve">apps.learning.test_queries.LearningQueryTests.test_quiz_items_come_in_question_order</t>
  </si>
  <si>
    <t xml:space="preserve">Quiz items come in question order</t>
  </si>
  <si>
    <t xml:space="preserve">python manage.py test apps.learning.test_queries.LearningQueryTests.test_quiz_items_come_in_question_order --settings=config.settings.test</t>
  </si>
  <si>
    <t xml:space="preserve">apps.learning.test_queries.LearningQueryTests.test_today</t>
  </si>
  <si>
    <t xml:space="preserve">python manage.py test apps.learning.test_queries.LearningQueryTests.test_today --settings=config.settings.test</t>
  </si>
  <si>
    <t xml:space="preserve">apps.learning.test_queries.LearningQueryTests.test_record</t>
  </si>
  <si>
    <t xml:space="preserve">Record</t>
  </si>
  <si>
    <t xml:space="preserve">python manage.py test apps.learning.test_queries.LearningQueryTests.test_record --settings=config.settings.test</t>
  </si>
  <si>
    <t xml:space="preserve">apps.learning.test_queries.LearningQueryTests.test_me</t>
  </si>
  <si>
    <t xml:space="preserve">Me</t>
  </si>
  <si>
    <t xml:space="preserve">python manage.py test apps.learning.test_queries.LearningQueryTests.test_me --settings=config.settings.test</t>
  </si>
  <si>
    <t xml:space="preserve">apps.learning.test_queries.StreakTests.test_streak_stops_at_the_first_gap</t>
  </si>
  <si>
    <t xml:space="preserve">StreakTests</t>
  </si>
  <si>
    <t xml:space="preserve">Streak stops at the first gap</t>
  </si>
  <si>
    <t xml:space="preserve">python manage.py test apps.learning.test_queries.StreakTests.test_streak_stops_at_the_first_gap --settings=config.settings.test</t>
  </si>
  <si>
    <t xml:space="preserve">apps.learning.test_queries.StreakTests.test_no_activity_today_means_no_streak</t>
  </si>
  <si>
    <t xml:space="preserve">No activity today means no streak</t>
  </si>
  <si>
    <t xml:space="preserve">python manage.py test apps.learning.test_queries.StreakTests.test_no_activity_today_means_no_streak --settings=config.settings.test</t>
  </si>
  <si>
    <t xml:space="preserve">apps.learning.tests.AccessTests.test_consent_required</t>
  </si>
  <si>
    <t xml:space="preserve">AccessTests</t>
  </si>
  <si>
    <t xml:space="preserve">Consent required</t>
  </si>
  <si>
    <t xml:space="preserve">TC-LRN-02, TC-SEC-04</t>
  </si>
  <si>
    <t xml:space="preserve">python manage.py test apps.learning.tests.AccessTests.test_consent_required --settings=config.settings.test</t>
  </si>
  <si>
    <t xml:space="preserve">apps.learning.tests.AccessTests.test_free_lesson_open_without_purchase</t>
  </si>
  <si>
    <t xml:space="preserve">Free lesson open without purchase</t>
  </si>
  <si>
    <t xml:space="preserve">python manage.py test apps.learning.tests.AccessTests.test_free_lesson_open_without_purchase --settings=config.settings.test</t>
  </si>
  <si>
    <t xml:space="preserve">apps.learning.tests.AccessTests.test_paid_lesson_needs_entitlement</t>
  </si>
  <si>
    <t xml:space="preserve">Paid lesson needs entitlement</t>
  </si>
  <si>
    <t xml:space="preserve">python manage.py test apps.learning.tests.AccessTests.test_paid_lesson_needs_entitlement --settings=config.settings.test</t>
  </si>
  <si>
    <t xml:space="preserve">apps.learning.tests.AccessTests.test_programme_entitlement_covers_its_courses</t>
  </si>
  <si>
    <t xml:space="preserve">Programme entitlement covers its courses</t>
  </si>
  <si>
    <t xml:space="preserve">python manage.py test apps.learning.tests.AccessTests.test_programme_entitlement_covers_its_courses --settings=config.settings.test</t>
  </si>
  <si>
    <t xml:space="preserve">Revoked entitlement</t>
  </si>
  <si>
    <t xml:space="preserve">python manage.py test apps.learning.tests.AccessTests.test_revoked_entitlement --settings=config.settings.test</t>
  </si>
  <si>
    <t xml:space="preserve">apps.learning.tests.QuizFlowTests.test_quiz_does_not_leak_answers</t>
  </si>
  <si>
    <t xml:space="preserve">QuizFlowTests</t>
  </si>
  <si>
    <t xml:space="preserve">Quiz does not leak answers</t>
  </si>
  <si>
    <t xml:space="preserve">python manage.py test apps.learning.tests.QuizFlowTests.test_quiz_does_not_leak_answers --settings=config.settings.test</t>
  </si>
  <si>
    <t xml:space="preserve">Full quiz</t>
  </si>
  <si>
    <t xml:space="preserve">TC-QZ-03, TC-QZ-04, TC-QZ-05, TC-QZ-06, TC-QZ-07, TC-REC-01</t>
  </si>
  <si>
    <t xml:space="preserve">python manage.py test apps.learning.tests.QuizFlowTests.test_full_quiz --settings=config.settings.test</t>
  </si>
  <si>
    <t xml:space="preserve">Other students attempt is invisible</t>
  </si>
  <si>
    <t xml:space="preserve">python manage.py test apps.learning.tests.QuizFlowTests.test_other_students_attempt_is_invisible --settings=config.settings.test</t>
  </si>
  <si>
    <t xml:space="preserve">Course completion and today</t>
  </si>
  <si>
    <t xml:space="preserve">TC-MAS-03, TC-TDY-01</t>
  </si>
  <si>
    <t xml:space="preserve">python manage.py test apps.learning.tests.QuizFlowTests.test_course_completion_and_today --settings=config.settings.test</t>
  </si>
  <si>
    <t xml:space="preserve">MasteryRuleTests</t>
  </si>
  <si>
    <t xml:space="preserve">Levels</t>
  </si>
  <si>
    <t xml:space="preserve">python manage.py test apps.learning.tests.MasteryRuleTests.test_levels --settings=config.settings.test</t>
  </si>
  <si>
    <t xml:space="preserve">python manage.py test apps.learning.tests.MasteryRuleTests.test_hint_penalty --settings=config.settings.test</t>
  </si>
  <si>
    <t xml:space="preserve">Mode</t>
  </si>
  <si>
    <t xml:space="preserve">Check</t>
  </si>
  <si>
    <t xml:space="preserve">What it checks</t>
  </si>
  <si>
    <t xml:space="preserve">Command (from backend/)</t>
  </si>
  <si>
    <t xml:space="preserve">Hosted (read-only)</t>
  </si>
  <si>
    <t xml:space="preserve">hosted:H0</t>
  </si>
  <si>
    <t xml:space="preserve">site reachable</t>
  </si>
  <si>
    <t xml:space="preserve">python qa/smoke_test.py --hosted --base &lt;site URL&gt;</t>
  </si>
  <si>
    <t xml:space="preserve">hosted:H1</t>
  </si>
  <si>
    <t xml:space="preserve">healthy and database reachable</t>
  </si>
  <si>
    <t xml:space="preserve">hosted:H2</t>
  </si>
  <si>
    <t xml:space="preserve">HSTS header present</t>
  </si>
  <si>
    <t xml:space="preserve">hosted:H3</t>
  </si>
  <si>
    <t xml:space="preserve">nosniff header present</t>
  </si>
  <si>
    <t xml:space="preserve">hosted:H4</t>
  </si>
  <si>
    <t xml:space="preserve">plain HTTP redirects to HTTPS</t>
  </si>
  <si>
    <t xml:space="preserve">hosted:H5</t>
  </si>
  <si>
    <t xml:space="preserve">root page points to the API docs</t>
  </si>
  <si>
    <t xml:space="preserve">hosted:H6</t>
  </si>
  <si>
    <t xml:space="preserve">CSRF cookie is Secure</t>
  </si>
  <si>
    <t xml:space="preserve">hosted:C1</t>
  </si>
  <si>
    <t xml:space="preserve">catalogue lists AI Foundations</t>
  </si>
  <si>
    <t xml:space="preserve">hosted:C2</t>
  </si>
  <si>
    <t xml:space="preserve">course has lessons and skills</t>
  </si>
  <si>
    <t xml:space="preserve">hosted:C3</t>
  </si>
  <si>
    <t xml:space="preserve">course has a free lesson</t>
  </si>
  <si>
    <t xml:space="preserve">hosted:C4</t>
  </si>
  <si>
    <t xml:space="preserve">free lesson preview readable without login</t>
  </si>
  <si>
    <t xml:space="preserve">hosted:C5</t>
  </si>
  <si>
    <t xml:space="preserve">unknown course is 404</t>
  </si>
  <si>
    <t xml:space="preserve">hosted:X1</t>
  </si>
  <si>
    <t xml:space="preserve">anonymous {path} is 401</t>
  </si>
  <si>
    <t xml:space="preserve">hosted:X2</t>
  </si>
  <si>
    <t xml:space="preserve">anonymous lesson is 401</t>
  </si>
  <si>
    <t xml:space="preserve">tester tools are off</t>
  </si>
  <si>
    <t xml:space="preserve">hosted:X4</t>
  </si>
  <si>
    <t xml:space="preserve">wrong login is refused cleanly</t>
  </si>
  <si>
    <t xml:space="preserve">Local journey</t>
  </si>
  <si>
    <t xml:space="preserve">server healthy</t>
  </si>
  <si>
    <t xml:space="preserve">python qa/smoke_test.py</t>
  </si>
  <si>
    <t xml:space="preserve">dev tools enabled</t>
  </si>
  <si>
    <t xml:space="preserve">smoke:C1</t>
  </si>
  <si>
    <t xml:space="preserve">smoke:C2</t>
  </si>
  <si>
    <t xml:space="preserve">smoke:A1</t>
  </si>
  <si>
    <t xml:space="preserve">student sign-up → awaiting consent</t>
  </si>
  <si>
    <t xml:space="preserve">smoke:A2</t>
  </si>
  <si>
    <t xml:space="preserve">lesson blocked before consent</t>
  </si>
  <si>
    <t xml:space="preserve">smoke:A3</t>
  </si>
  <si>
    <t xml:space="preserve">parent received approval link</t>
  </si>
  <si>
    <t xml:space="preserve">smoke:A4</t>
  </si>
  <si>
    <t xml:space="preserve">parent sign-up</t>
  </si>
  <si>
    <t xml:space="preserve">smoke:A5</t>
  </si>
  <si>
    <t xml:space="preserve">parent verifies mobile</t>
  </si>
  <si>
    <t xml:space="preserve">approval page shows child and consent text</t>
  </si>
  <si>
    <t xml:space="preserve">smoke:A7</t>
  </si>
  <si>
    <t xml:space="preserve">parent approves</t>
  </si>
  <si>
    <t xml:space="preserve">smoke:A8</t>
  </si>
  <si>
    <t xml:space="preserve">student now active</t>
  </si>
  <si>
    <t xml:space="preserve">smoke:L1</t>
  </si>
  <si>
    <t xml:space="preserve">student opens free lesson</t>
  </si>
  <si>
    <t xml:space="preserve">smoke:Q1</t>
  </si>
  <si>
    <t xml:space="preserve">quiz starts without leaking answers</t>
  </si>
  <si>
    <t xml:space="preserve">smoke:Q2</t>
  </si>
  <si>
    <t xml:space="preserve">hint returned</t>
  </si>
  <si>
    <t xml:space="preserve">smoke:Q3</t>
  </si>
  <si>
    <t xml:space="preserve">answer question {item['position']} gets feedback</t>
  </si>
  <si>
    <t xml:space="preserve">smoke:Q4</t>
  </si>
  <si>
    <t xml:space="preserve">answering twice is refused</t>
  </si>
  <si>
    <t xml:space="preserve">smoke:Q5</t>
  </si>
  <si>
    <t xml:space="preserve">submit returns score and skill changes</t>
  </si>
  <si>
    <t xml:space="preserve">smoke:R1</t>
  </si>
  <si>
    <t xml:space="preserve">record shows the quiz and mastery</t>
  </si>
  <si>
    <t xml:space="preserve">smoke:R2</t>
  </si>
  <si>
    <t xml:space="preserve">today responds</t>
  </si>
  <si>
    <t xml:space="preserve">smoke:P1</t>
  </si>
  <si>
    <t xml:space="preserve">parent withdraws consent</t>
  </si>
  <si>
    <t xml:space="preserve">smoke:P2</t>
  </si>
  <si>
    <t xml:space="preserve">lesson blocked after withdrawal</t>
  </si>
  <si>
    <t xml:space="preserve">smoke:P3</t>
  </si>
  <si>
    <t xml:space="preserve">parent restores consent</t>
  </si>
  <si>
    <t xml:space="preserve">smoke:P4</t>
  </si>
  <si>
    <t xml:space="preserve">lesson open again</t>
  </si>
  <si>
    <t xml:space="preserve">smoke:X1</t>
  </si>
  <si>
    <t xml:space="preserve">anonymous /me is 401</t>
  </si>
  <si>
    <t xml:space="preserve">smoke:X2</t>
  </si>
  <si>
    <t xml:space="preserve">Requirement</t>
  </si>
  <si>
    <t xml:space="preserve">Requirement text</t>
  </si>
  <si>
    <t xml:space="preserve">Build status</t>
  </si>
  <si>
    <t xml:space="preserve"># manual</t>
  </si>
  <si>
    <t xml:space="preserve"># automated</t>
  </si>
  <si>
    <t xml:space="preserve">Coverage</t>
  </si>
  <si>
    <t xml:space="preserve">ACC</t>
  </si>
  <si>
    <t xml:space="preserve">Sign-up and login with email or mobile (10-digit Indian numbers accepted and stored as +91…)</t>
  </si>
  <si>
    <t xml:space="preserve">Implemented</t>
  </si>
  <si>
    <t xml:space="preserve">TC-ACC-01, TC-ACC-03, TC-ACC-04, TC-ACC-05, TC-DEMO-01</t>
  </si>
  <si>
    <t xml:space="preserve">Contact verification and password reset by 6-digit one-time code (10-minute expiry, 5 attempts, 5 codes / 10 min)</t>
  </si>
  <si>
    <t xml:space="preserve">TC-ACC-02, TC-ACC-08, TC-ACC-09</t>
  </si>
  <si>
    <t xml:space="preserve">Codes are never sent to unregistered contacts, so the API doesn't reveal who is registered</t>
  </si>
  <si>
    <t xml:space="preserve">TC-ACC-10, TC-SEC-10, TC-SEC-14</t>
  </si>
  <si>
    <t xml:space="preserve">Student accounts start `awaiting_consent`; parent approves via a hashed, 7-day link</t>
  </si>
  <si>
    <t xml:space="preserve">TC-ACC-01, TC-CON-01, TC-CON-02</t>
  </si>
  <si>
    <t xml:space="preserve">Consent records store the exact consent-text version, time and IP</t>
  </si>
  <si>
    <t xml:space="preserve">TC-CON-02, TC-SEC-06</t>
  </si>
  <si>
    <t xml:space="preserve">One active primary guardian per student (v1)</t>
  </si>
  <si>
    <t xml:space="preserve">Withdrawal pauses the student immediately; restore reactivates</t>
  </si>
  <si>
    <t xml:space="preserve">FR-ACC-8</t>
  </si>
  <si>
    <t xml:space="preserve">Unapproved student accounts deleted after 30 days; data deleted 30 days after withdrawal</t>
  </si>
  <si>
    <t xml:space="preserve">Planned (scheduled job)</t>
  </si>
  <si>
    <t xml:space="preserve">Roles (author, reviewer, batch teacher, curriculum lead, operations, super admin) scoped by subject and class</t>
  </si>
  <si>
    <t xml:space="preserve">Implemented (model; publishing and role management enforced)</t>
  </si>
  <si>
    <t xml:space="preserve">FR-CAT-1</t>
  </si>
  <si>
    <t xml:space="preserve">CAT</t>
  </si>
  <si>
    <t xml:space="preserve">Discipline → Subject → Course → Module → Lesson; skills with prerequisites; board chapter mappings</t>
  </si>
  <si>
    <t xml:space="preserve">Public list filtered by class, board, subject and stage; board-independent courses always match</t>
  </si>
  <si>
    <t xml:space="preserve">TC-CAT-01, TC-CAT-02, TC-CAT-03, TC-DEMO-06</t>
  </si>
  <si>
    <t xml:space="preserve">First module of a course readable free (without AI tutor)</t>
  </si>
  <si>
    <t xml:space="preserve">TC-CAT-08, TC-CAT-09</t>
  </si>
  <si>
    <t xml:space="preserve">CON</t>
  </si>
  <si>
    <t xml:space="preserve">Every lesson and question edit is a new version; published versions are immutable</t>
  </si>
  <si>
    <t xml:space="preserve">One published version per lesson/question; reviewer ≠ author (database-enforced)</t>
  </si>
  <si>
    <t xml:space="preserve">TC-DEMO-11, TC-SEC-09</t>
  </si>
  <si>
    <t xml:space="preserve">Publishing archives the previous version and re-indexes the lesson for the tutor</t>
  </si>
  <si>
    <t xml:space="preserve">Archive implemented; re-index planned</t>
  </si>
  <si>
    <t xml:space="preserve">TC-ADM-04, TC-ADM-09, TC-DEMO-07, TC-SEC-17</t>
  </si>
  <si>
    <t xml:space="preserve">LRN</t>
  </si>
  <si>
    <t xml:space="preserve">Lessons, quizzes and the tutor require an active (consented) student account</t>
  </si>
  <si>
    <t xml:space="preserve">TC-DEMO-02, TC-LRN-01, TC-LRN-02</t>
  </si>
  <si>
    <t xml:space="preserve">Paid lessons require an active entitlement to the course or a programme containing it</t>
  </si>
  <si>
    <t xml:space="preserve">TC-DEMO-03, TC-LRN-03, TC-LRN-04</t>
  </si>
  <si>
    <t xml:space="preserve">Quiz answers are never sent to the client before answering; each answer references the exact question version shown</t>
  </si>
  <si>
    <t xml:space="preserve">Mastery per skill: `score ← score + 0.35 × (credit − score)`; each hint removes 25% of credit; *mastered* needs score ≥ 0.75 and ≥ 3 answers</t>
  </si>
  <si>
    <t xml:space="preserve">TC-QZ-03, TC-MAS-01, TC-MAS-02</t>
  </si>
  <si>
    <t xml:space="preserve">FR-LRN-5</t>
  </si>
  <si>
    <t xml:space="preserve">Every mastery change is logged with the answer that caused it</t>
  </si>
  <si>
    <t xml:space="preserve">TC-DEMO-04, TC-MAS-01</t>
  </si>
  <si>
    <t xml:space="preserve">Course complete = all lessons finished and every taught skill at least *developing*</t>
  </si>
  <si>
    <t xml:space="preserve">TC-DEMO-04, TC-MAS-03</t>
  </si>
  <si>
    <t xml:space="preserve">Today: next unfinished lesson, weakest-skill review, streak counted in IST</t>
  </si>
  <si>
    <t xml:space="preserve">FR-LRN-8</t>
  </si>
  <si>
    <t xml:space="preserve">Adaptive warm-up check using skill prerequisites</t>
  </si>
  <si>
    <t xml:space="preserve">Planned</t>
  </si>
  <si>
    <t xml:space="preserve">FR-AI-1</t>
  </si>
  <si>
    <t xml:space="preserve">AI</t>
  </si>
  <si>
    <t xml:space="preserve">Tutor modes Explain / Socratic / Hint, grounded in published lesson content with cited sections</t>
  </si>
  <si>
    <t xml:space="preserve">FR-AI-2</t>
  </si>
  <si>
    <t xml:space="preserve">Daily message limit per student (default 50, admin-adjustable)</t>
  </si>
  <si>
    <t xml:space="preserve">FR-AI-3</t>
  </si>
  <si>
    <t xml:space="preserve">Safety check on every message; flags routed to operations</t>
  </si>
  <si>
    <t xml:space="preserve">FR-COM-1</t>
  </si>
  <si>
    <t xml:space="preserve">COM</t>
  </si>
  <si>
    <t xml:space="preserve">Razorpay checkout; entitlement created only from a signature-verified webhook</t>
  </si>
  <si>
    <t xml:space="preserve">FR-COM-2</t>
  </si>
  <si>
    <t xml:space="preserve">Idempotency keys on order creation</t>
  </si>
  <si>
    <t xml:space="preserve">FR-BAT-1</t>
  </si>
  <si>
    <t xml:space="preserve">BAT</t>
  </si>
  <si>
    <t xml:space="preserve">Batches with class, board, mode, city, centre, teacher, seats, price; sessions with meeting links; attendance</t>
  </si>
  <si>
    <t xml:space="preserve">OPS</t>
  </si>
  <si>
    <t xml:space="preserve">Append-only audit log of consent, role, publishing, refund and suspension changes</t>
  </si>
  <si>
    <t xml:space="preserve">Implemented (consent, publishing, roles)</t>
  </si>
  <si>
    <t xml:space="preserve">Security</t>
  </si>
  <si>
    <t xml:space="preserve">Server-side authorization on every endpoint; the browser talks only to Django</t>
  </si>
  <si>
    <t xml:space="preserve">—</t>
  </si>
  <si>
    <t xml:space="preserve">TC-HOST-03, TC-SEC-01</t>
  </si>
  <si>
    <t xml:space="preserve">Session cookies HttpOnly, Secure (prod), SameSite=Lax; CSRF on state-changing requests</t>
  </si>
  <si>
    <t xml:space="preserve">TC-SET-3, TC-HOST-04</t>
  </si>
  <si>
    <t xml:space="preserve">Secrets only in environment variables; link tokens and one-time codes stored as SHA-256 hashes</t>
  </si>
  <si>
    <t xml:space="preserve">Brute-force protection: rate limits on login, sign-up, one-time codes and consent links; per-account login lockout</t>
  </si>
  <si>
    <t xml:space="preserve">TC-SEC-13, TC-SEC-15, TC-SEC-16</t>
  </si>
  <si>
    <t xml:space="preserve">Least privilege in the back office: publishing, role grants and admin access decided by role grants, not staff status</t>
  </si>
  <si>
    <t xml:space="preserve">TC-DEMO-08, TC-DEMO-09, TC-DEMO-10, TC-SEC-18</t>
  </si>
  <si>
    <t xml:space="preserve">Privacy</t>
  </si>
  <si>
    <t xml:space="preserve">Data minimisation (class, not date of birth); AI service receives a pseudonymous learner reference only</t>
  </si>
  <si>
    <t xml:space="preserve">NFR-PRIV-2</t>
  </si>
  <si>
    <t xml:space="preserve">Parent can withdraw consent, export and delete the child's data</t>
  </si>
  <si>
    <t xml:space="preserve">NFR-PERF-1</t>
  </si>
  <si>
    <t xml:space="preserve">Performance</t>
  </si>
  <si>
    <t xml:space="preserve">API p95 &lt; 300 ms for non-AI endpoints at launch load; tutor first token &lt; 3 s</t>
  </si>
  <si>
    <t xml:space="preserve">Availability</t>
  </si>
  <si>
    <t xml:space="preserve">Health endpoint for platform checks; database backups with a tested restore before launch</t>
  </si>
  <si>
    <t xml:space="preserve">TC-SET-1, TC-HOST-01</t>
  </si>
  <si>
    <t xml:space="preserve">NFR-QUAL-1</t>
  </si>
  <si>
    <t xml:space="preserve">Quality</t>
  </si>
  <si>
    <t xml:space="preserve">Every feature ships with tests; CI (lint incl. security rules, migrations check, deploy check, dependency audit, tests with ≥ 90% branch coverage) must pass before merge</t>
  </si>
  <si>
    <t xml:space="preserve">NFR-PERF-2</t>
  </si>
  <si>
    <t xml:space="preserve">Query count per request independent of data size (no N+1); lists paginated in the database</t>
  </si>
  <si>
    <t xml:space="preserve">NFR-A11Y-1</t>
  </si>
  <si>
    <t xml:space="preserve">Accessibility</t>
  </si>
  <si>
    <t xml:space="preserve">Web app meets WCAG 2.1 AA for keyboard use, contrast and screen readers</t>
  </si>
  <si>
    <t xml:space="preserve">NFR-COST-1</t>
  </si>
  <si>
    <t xml:space="preserve">Cost</t>
  </si>
  <si>
    <t xml:space="preserve">AI cost logged per message; cheaper models for simple tasks; per-student daily limits</t>
  </si>
  <si>
    <t xml:space="preserve">Time</t>
  </si>
  <si>
    <t xml:space="preserve">Stored in UTC; shown and "today" computed in IST (Asia/Kolkata)</t>
  </si>
  <si>
    <t xml:space="preserve">TC-DEMO-05, TC-TDY-02</t>
  </si>
  <si>
    <t xml:space="preserve">Key</t>
  </si>
  <si>
    <t xml:space="preserve">Name</t>
  </si>
  <si>
    <t xml:space="preserve">Mobile</t>
  </si>
  <si>
    <t xml:space="preserve">Email</t>
  </si>
  <si>
    <t xml:space="preserve">Role / state</t>
  </si>
  <si>
    <t xml:space="preserve">Use it to test</t>
  </si>
  <si>
    <t xml:space="preserve">parent</t>
  </si>
  <si>
    <t xml:space="preserve">Test Parent</t>
  </si>
  <si>
    <t xml:space="preserve">9000000001</t>
  </si>
  <si>
    <t xml:space="preserve">parent@test.tutor</t>
  </si>
  <si>
    <t xml:space="preserve">Parent of Asha, Esha, Kabir</t>
  </si>
  <si>
    <t xml:space="preserve">Parent views, withdraw/restore consent, add a child</t>
  </si>
  <si>
    <t xml:space="preserve">priya</t>
  </si>
  <si>
    <t xml:space="preserve">Priya Nair</t>
  </si>
  <si>
    <t xml:space="preserve">9000000011</t>
  </si>
  <si>
    <t xml:space="preserve">priya@test.tutor</t>
  </si>
  <si>
    <t xml:space="preserve">Parent of Meera, Zoya, Ishaan</t>
  </si>
  <si>
    <t xml:space="preserve">Several children, different classes</t>
  </si>
  <si>
    <t xml:space="preserve">rahul</t>
  </si>
  <si>
    <t xml:space="preserve">Rahul Das</t>
  </si>
  <si>
    <t xml:space="preserve">9000000012</t>
  </si>
  <si>
    <t xml:space="preserve">rahul@test.tutor</t>
  </si>
  <si>
    <t xml:space="preserve">Wasim's parent; approval pending</t>
  </si>
  <si>
    <t xml:space="preserve">Approval flow (local: link in the dev outbox)</t>
  </si>
  <si>
    <t xml:space="preserve">farhan</t>
  </si>
  <si>
    <t xml:space="preserve">Farhan Ali</t>
  </si>
  <si>
    <t xml:space="preserve">9000000013</t>
  </si>
  <si>
    <t xml:space="preserve">farhan@test.tutor</t>
  </si>
  <si>
    <t xml:space="preserve">Withdrew consent for Rohan</t>
  </si>
  <si>
    <t xml:space="preserve">Restoring consent</t>
  </si>
  <si>
    <t xml:space="preserve">student_active</t>
  </si>
  <si>
    <t xml:space="preserve">Asha Active</t>
  </si>
  <si>
    <t xml:space="preserve">9000000002</t>
  </si>
  <si>
    <t xml:space="preserve">asha@test.tutor</t>
  </si>
  <si>
    <t xml:space="preserve">Class 8 CBSE, active, nothing bought</t>
  </si>
  <si>
    <t xml:space="preserve">Free lessons only; paid lessons refused</t>
  </si>
  <si>
    <t xml:space="preserve">student_enrolled</t>
  </si>
  <si>
    <t xml:space="preserve">Esha Enrolled</t>
  </si>
  <si>
    <t xml:space="preserve">9000000003</t>
  </si>
  <si>
    <t xml:space="preserve">esha@test.tutor</t>
  </si>
  <si>
    <t xml:space="preserve">Class 8 CBSE, AI Foundations</t>
  </si>
  <si>
    <t xml:space="preserve">One quiz taken; continue the course</t>
  </si>
  <si>
    <t xml:space="preserve">student_waiting</t>
  </si>
  <si>
    <t xml:space="preserve">Wasim Waiting</t>
  </si>
  <si>
    <t xml:space="preserve">9000000004</t>
  </si>
  <si>
    <t xml:space="preserve">wasim@test.tutor</t>
  </si>
  <si>
    <t xml:space="preserve">Class 8, awaiting consent</t>
  </si>
  <si>
    <t xml:space="preserve">Everything except browsing is blocked</t>
  </si>
  <si>
    <t xml:space="preserve">kabir</t>
  </si>
  <si>
    <t xml:space="preserve">Kabir Sen</t>
  </si>
  <si>
    <t xml:space="preserve">9000000021</t>
  </si>
  <si>
    <t xml:space="preserve">kabir@test.tutor</t>
  </si>
  <si>
    <t xml:space="preserve">Class 8 CBSE, Class 8 Foundation programme</t>
  </si>
  <si>
    <t xml:space="preserve">Rich record: AI Foundations completed, 7 quizzes, weak on inverses (review item)</t>
  </si>
  <si>
    <t xml:space="preserve">meera</t>
  </si>
  <si>
    <t xml:space="preserve">Meera Nair</t>
  </si>
  <si>
    <t xml:space="preserve">9000000022</t>
  </si>
  <si>
    <t xml:space="preserve">meera@test.tutor</t>
  </si>
  <si>
    <t xml:space="preserve">Class 11 ICSE, Physics 11</t>
  </si>
  <si>
    <t xml:space="preserve">Mid-course, 3-day streak</t>
  </si>
  <si>
    <t xml:space="preserve">zoya</t>
  </si>
  <si>
    <t xml:space="preserve">Zoya Nair</t>
  </si>
  <si>
    <t xml:space="preserve">9000000023</t>
  </si>
  <si>
    <t xml:space="preserve">zoya@test.tutor</t>
  </si>
  <si>
    <t xml:space="preserve">Class 6 CBSE, Class 6 Maths Start</t>
  </si>
  <si>
    <t xml:space="preserve">5-day streak, a quiz retake</t>
  </si>
  <si>
    <t xml:space="preserve">rohan</t>
  </si>
  <si>
    <t xml:space="preserve">Rohan Ali</t>
  </si>
  <si>
    <t xml:space="preserve">9000000024</t>
  </si>
  <si>
    <t xml:space="preserve">rohan@test.tutor</t>
  </si>
  <si>
    <t xml:space="preserve">Class 8 ICSE, paused (consent withdrawn)</t>
  </si>
  <si>
    <t xml:space="preserve">Blocked with `consent_required`; history kept</t>
  </si>
  <si>
    <t xml:space="preserve">ishaan</t>
  </si>
  <si>
    <t xml:space="preserve">Ishaan Roy</t>
  </si>
  <si>
    <t xml:space="preserve">9000000025</t>
  </si>
  <si>
    <t xml:space="preserve">ishaan@test.tutor</t>
  </si>
  <si>
    <t xml:space="preserve">Class 11 CBSE, active, nothing bought</t>
  </si>
  <si>
    <t xml:space="preserve">Opened a free lesson only</t>
  </si>
  <si>
    <t xml:space="preserve">teacher</t>
  </si>
  <si>
    <t xml:space="preserve">Tara Teacher</t>
  </si>
  <si>
    <t xml:space="preserve">9000000005</t>
  </si>
  <si>
    <t xml:space="preserve">tara@test.tutor</t>
  </si>
  <si>
    <t xml:space="preserve">Author + reviewer, AI Foundations</t>
  </si>
  <si>
    <t xml:space="preserve">Has a draft; cannot publish</t>
  </si>
  <si>
    <t xml:space="preserve">vikram</t>
  </si>
  <si>
    <t xml:space="preserve">Vikram Rao</t>
  </si>
  <si>
    <t xml:space="preserve">9000000031</t>
  </si>
  <si>
    <t xml:space="preserve">vikram@test.tutor</t>
  </si>
  <si>
    <t xml:space="preserve">Author, Maths Class 8</t>
  </si>
  <si>
    <t xml:space="preserve">Has a version in review and one approved</t>
  </si>
  <si>
    <t xml:space="preserve">neha</t>
  </si>
  <si>
    <t xml:space="preserve">Neha Gupta</t>
  </si>
  <si>
    <t xml:space="preserve">9000000032</t>
  </si>
  <si>
    <t xml:space="preserve">neha@test.tutor</t>
  </si>
  <si>
    <t xml:space="preserve">Reviewer, all Maths + Science Class 8</t>
  </si>
  <si>
    <t xml:space="preserve">Review queue</t>
  </si>
  <si>
    <t xml:space="preserve">ananya</t>
  </si>
  <si>
    <t xml:space="preserve">Ananya Iyer</t>
  </si>
  <si>
    <t xml:space="preserve">9000000041</t>
  </si>
  <si>
    <t xml:space="preserve">ananya@test.tutor</t>
  </si>
  <si>
    <t xml:space="preserve">Super admin</t>
  </si>
  <si>
    <t xml:space="preserve">Can: Publish any content, grant and revoke roles. Cannot: — (but not a Django superuser)</t>
  </si>
  <si>
    <t xml:space="preserve">lead</t>
  </si>
  <si>
    <t xml:space="preserve">Lalit Lead</t>
  </si>
  <si>
    <t xml:space="preserve">9000000006</t>
  </si>
  <si>
    <t xml:space="preserve">lalit@test.tutor</t>
  </si>
  <si>
    <t xml:space="preserve">Curriculum lead, AI Foundations</t>
  </si>
  <si>
    <t xml:space="preserve">Can: Publish AI Foundations. Cannot: Publish Maths or Science</t>
  </si>
  <si>
    <t xml:space="preserve">maya</t>
  </si>
  <si>
    <t xml:space="preserve">Maya Menon</t>
  </si>
  <si>
    <t xml:space="preserve">9000000042</t>
  </si>
  <si>
    <t xml:space="preserve">maya@test.tutor</t>
  </si>
  <si>
    <t xml:space="preserve">Curriculum lead, Mathematics (all classes)</t>
  </si>
  <si>
    <t xml:space="preserve">Can: Publish Maths; an approved version is waiting for her. Cannot: Publish AI Foundations</t>
  </si>
  <si>
    <t xml:space="preserve">omar</t>
  </si>
  <si>
    <t xml:space="preserve">Omar Sheikh</t>
  </si>
  <si>
    <t xml:space="preserve">9000000043</t>
  </si>
  <si>
    <t xml:space="preserve">omar@test.tutor</t>
  </si>
  <si>
    <t xml:space="preserve">Operations</t>
  </si>
  <si>
    <t xml:space="preserve">Can: Look up users, grant enrolments (entitlements). Cannot: Publish anything, grant roles</t>
  </si>
  <si>
    <t xml:space="preserve">TC ID</t>
  </si>
  <si>
    <t xml:space="preserve">Steps to reproduce</t>
  </si>
  <si>
    <t xml:space="preserve">Expected</t>
  </si>
  <si>
    <t xml:space="preserve">Actual</t>
  </si>
  <si>
    <t xml:space="preserve">Reported by</t>
  </si>
  <si>
    <t xml:space="preserve">Reported on</t>
  </si>
  <si>
    <t xml:space="preserve">BUG-001</t>
  </si>
  <si>
    <t xml:space="preserve">Answering twice returns 500 instead of 409</t>
  </si>
  <si>
    <t xml:space="preserve">High</t>
  </si>
  <si>
    <t xml:space="preserve">Start quiz; answer position 1; answer position 1 again</t>
  </si>
  <si>
    <t xml:space="preserve">409 conflict</t>
  </si>
  <si>
    <t xml:space="preserve">500 server error</t>
  </si>
  <si>
    <t xml:space="preserve">Tester name</t>
  </si>
  <si>
    <t xml:space="preserve">Open</t>
  </si>
  <si>
    <t xml:space="preserve">Example row: replace or delete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</si>
</sst>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7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FFE8A1"/>
        </patternFill>
      </fill>
    </dxf>
    <dxf>
      <fill>
        <patternFill>
          <bgColor rgb="FFE2E3E5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E8A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E2E3E5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E8A1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  <c r="B4" s="5" t="n">
        <f aca="false">COUNTA('Manual cases'!$A$2:$A$96)</f>
        <v>95</v>
      </c>
      <c r="C4" s="6" t="s">
        <v>4</v>
      </c>
    </row>
    <row r="5" customFormat="false" ht="15" hidden="false" customHeight="false" outlineLevel="0" collapsed="false">
      <c r="A5" s="4" t="s">
        <v>5</v>
      </c>
      <c r="B5" s="5" t="n">
        <f aca="false">COUNTIF('Manual cases'!$E$2:$E$96,"P1")</f>
        <v>64</v>
      </c>
      <c r="C5" s="6" t="s">
        <v>6</v>
      </c>
    </row>
    <row r="6" customFormat="false" ht="15" hidden="false" customHeight="false" outlineLevel="0" collapsed="false">
      <c r="A6" s="4" t="s">
        <v>7</v>
      </c>
      <c r="B6" s="5" t="n">
        <f aca="false">COUNTIF('Manual cases'!$E$2:$E$96,"P2")</f>
        <v>26</v>
      </c>
      <c r="C6" s="6"/>
    </row>
    <row r="7" customFormat="false" ht="15" hidden="false" customHeight="false" outlineLevel="0" collapsed="false">
      <c r="A7" s="4" t="s">
        <v>8</v>
      </c>
      <c r="B7" s="5" t="n">
        <f aca="false">COUNTIF('Manual cases'!$E$2:$E$96,"P3")</f>
        <v>5</v>
      </c>
      <c r="C7" s="6"/>
    </row>
    <row r="8" customFormat="false" ht="15" hidden="false" customHeight="false" outlineLevel="0" collapsed="false">
      <c r="A8" s="4" t="s">
        <v>9</v>
      </c>
      <c r="B8" s="5" t="n">
        <f aca="false">COUNTIF('Manual cases'!$K$2:$K$96,"&gt;0")</f>
        <v>84</v>
      </c>
      <c r="C8" s="6" t="s">
        <v>10</v>
      </c>
    </row>
    <row r="9" customFormat="false" ht="15" hidden="false" customHeight="false" outlineLevel="0" collapsed="false">
      <c r="A9" s="4" t="s">
        <v>11</v>
      </c>
      <c r="B9" s="7" t="n">
        <f aca="false">IF(B4=0,0,B8/B4)</f>
        <v>0.884210526315789</v>
      </c>
      <c r="C9" s="6" t="s">
        <v>12</v>
      </c>
    </row>
    <row r="10" customFormat="false" ht="15" hidden="false" customHeight="false" outlineLevel="0" collapsed="false">
      <c r="A10" s="4" t="s">
        <v>13</v>
      </c>
      <c r="B10" s="5" t="n">
        <f aca="false">COUNTIF('Manual cases'!$N$2:$N$96,"Pass")</f>
        <v>0</v>
      </c>
      <c r="C10" s="6" t="s">
        <v>14</v>
      </c>
    </row>
    <row r="11" customFormat="false" ht="15" hidden="false" customHeight="false" outlineLevel="0" collapsed="false">
      <c r="A11" s="4" t="s">
        <v>15</v>
      </c>
      <c r="B11" s="5" t="n">
        <f aca="false">COUNTIF('Manual cases'!$N$2:$N$96,"Fail")</f>
        <v>0</v>
      </c>
      <c r="C11" s="6" t="s">
        <v>16</v>
      </c>
    </row>
    <row r="12" customFormat="false" ht="15" hidden="false" customHeight="false" outlineLevel="0" collapsed="false">
      <c r="A12" s="4" t="s">
        <v>17</v>
      </c>
      <c r="B12" s="5" t="n">
        <f aca="false">COUNTIF('Manual cases'!$N$2:$N$96,"Blocked")</f>
        <v>0</v>
      </c>
      <c r="C12" s="6" t="s">
        <v>18</v>
      </c>
    </row>
    <row r="13" customFormat="false" ht="15" hidden="false" customHeight="false" outlineLevel="0" collapsed="false">
      <c r="A13" s="4" t="s">
        <v>19</v>
      </c>
      <c r="B13" s="5" t="n">
        <f aca="false">COUNTIF('Manual cases'!$N$2:$N$96,"Not run")</f>
        <v>95</v>
      </c>
      <c r="C13" s="6"/>
    </row>
    <row r="14" customFormat="false" ht="15" hidden="false" customHeight="false" outlineLevel="0" collapsed="false">
      <c r="A14" s="4" t="s">
        <v>20</v>
      </c>
      <c r="B14" s="7" t="n">
        <f aca="false">IF((B10+B11+B12)=0,0,B10/(B10+B11+B12))</f>
        <v>0</v>
      </c>
      <c r="C14" s="6" t="s">
        <v>21</v>
      </c>
    </row>
    <row r="15" customFormat="false" ht="15" hidden="false" customHeight="false" outlineLevel="0" collapsed="false">
      <c r="A15" s="4" t="s">
        <v>22</v>
      </c>
      <c r="B15" s="5" t="n">
        <f aca="false">COUNTA('Automated tests'!$A$2:$A$186)</f>
        <v>185</v>
      </c>
      <c r="C15" s="6" t="s">
        <v>23</v>
      </c>
    </row>
    <row r="16" customFormat="false" ht="15" hidden="false" customHeight="false" outlineLevel="0" collapsed="false">
      <c r="A16" s="4" t="s">
        <v>24</v>
      </c>
      <c r="B16" s="5" t="n">
        <f aca="false">COUNTA('Smoke checks'!$A$2:$A$43)</f>
        <v>42</v>
      </c>
      <c r="C16" s="6" t="s">
        <v>25</v>
      </c>
    </row>
    <row r="17" customFormat="false" ht="15" hidden="false" customHeight="false" outlineLevel="0" collapsed="false">
      <c r="A17" s="4" t="s">
        <v>26</v>
      </c>
      <c r="B17" s="5" t="n">
        <f aca="false">COUNTIF(Traceability!$H$2:$H$45,"No manual case")</f>
        <v>15</v>
      </c>
      <c r="C17" s="6" t="s">
        <v>27</v>
      </c>
    </row>
    <row r="19" customFormat="false" ht="15" hidden="false" customHeight="false" outlineLevel="0" collapsed="false">
      <c r="A19" s="3" t="s">
        <v>28</v>
      </c>
      <c r="C19" s="8"/>
    </row>
    <row r="20" customFormat="false" ht="23.85" hidden="false" customHeight="false" outlineLevel="0" collapsed="false">
      <c r="A20" s="4" t="s">
        <v>29</v>
      </c>
      <c r="C20" s="8" t="s">
        <v>30</v>
      </c>
    </row>
    <row r="21" customFormat="false" ht="23.85" hidden="false" customHeight="false" outlineLevel="0" collapsed="false">
      <c r="A21" s="4" t="s">
        <v>31</v>
      </c>
      <c r="C21" s="8" t="s">
        <v>32</v>
      </c>
    </row>
    <row r="22" customFormat="false" ht="23.85" hidden="false" customHeight="false" outlineLevel="0" collapsed="false">
      <c r="A22" s="4" t="s">
        <v>33</v>
      </c>
      <c r="C22" s="8" t="s">
        <v>34</v>
      </c>
    </row>
    <row r="23" customFormat="false" ht="23.85" hidden="false" customHeight="false" outlineLevel="0" collapsed="false">
      <c r="A23" s="4" t="s">
        <v>35</v>
      </c>
      <c r="C23" s="8" t="s">
        <v>36</v>
      </c>
    </row>
    <row r="24" customFormat="false" ht="15" hidden="false" customHeight="false" outlineLevel="0" collapsed="false">
      <c r="A24" s="5" t="s">
        <v>37</v>
      </c>
      <c r="C24" s="8" t="s">
        <v>38</v>
      </c>
    </row>
    <row r="25" customFormat="false" ht="23.85" hidden="false" customHeight="false" outlineLevel="0" collapsed="false">
      <c r="A25" s="5" t="s">
        <v>39</v>
      </c>
      <c r="C25" s="8" t="s">
        <v>40</v>
      </c>
    </row>
    <row r="26" customFormat="false" ht="23.85" hidden="false" customHeight="false" outlineLevel="0" collapsed="false">
      <c r="A26" s="5" t="s">
        <v>41</v>
      </c>
      <c r="C26" s="8" t="s">
        <v>42</v>
      </c>
    </row>
    <row r="27" customFormat="false" ht="15" hidden="false" customHeight="false" outlineLevel="0" collapsed="false">
      <c r="A27" s="5" t="s">
        <v>43</v>
      </c>
      <c r="C27" s="8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  <col collapsed="false" customWidth="true" hidden="false" outlineLevel="0" max="4" min="4" style="0" width="34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4"/>
    <col collapsed="false" customWidth="true" hidden="false" outlineLevel="0" max="10" min="9" style="0" width="60"/>
    <col collapsed="false" customWidth="true" hidden="false" outlineLevel="0" max="11" min="11" style="0" width="10"/>
    <col collapsed="false" customWidth="true" hidden="false" outlineLevel="0" max="12" min="12" style="0" width="50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30"/>
  </cols>
  <sheetData>
    <row r="1" customFormat="false" ht="30" hidden="false" customHeight="true" outlineLevel="0" collapsed="false">
      <c r="A1" s="9" t="s">
        <v>45</v>
      </c>
      <c r="B1" s="9" t="s">
        <v>46</v>
      </c>
      <c r="C1" s="9" t="s">
        <v>47</v>
      </c>
      <c r="D1" s="9" t="s">
        <v>48</v>
      </c>
      <c r="E1" s="9" t="s">
        <v>49</v>
      </c>
      <c r="F1" s="9" t="s">
        <v>50</v>
      </c>
      <c r="G1" s="9" t="s">
        <v>51</v>
      </c>
      <c r="H1" s="9" t="s">
        <v>52</v>
      </c>
      <c r="I1" s="9" t="s">
        <v>53</v>
      </c>
      <c r="J1" s="9" t="s">
        <v>54</v>
      </c>
      <c r="K1" s="9" t="s">
        <v>22</v>
      </c>
      <c r="L1" s="9" t="s">
        <v>55</v>
      </c>
      <c r="M1" s="9" t="s">
        <v>56</v>
      </c>
      <c r="N1" s="9" t="s">
        <v>57</v>
      </c>
      <c r="O1" s="9" t="s">
        <v>58</v>
      </c>
      <c r="P1" s="9" t="s">
        <v>59</v>
      </c>
      <c r="Q1" s="9" t="s">
        <v>60</v>
      </c>
      <c r="R1" s="9" t="s">
        <v>61</v>
      </c>
    </row>
    <row r="2" customFormat="false" ht="46.25" hidden="false" customHeight="false" outlineLevel="0" collapsed="false">
      <c r="A2" s="10" t="s">
        <v>62</v>
      </c>
      <c r="B2" s="10" t="s">
        <v>63</v>
      </c>
      <c r="C2" s="10" t="s">
        <v>64</v>
      </c>
      <c r="D2" s="10" t="s">
        <v>65</v>
      </c>
      <c r="E2" s="10" t="s">
        <v>66</v>
      </c>
      <c r="F2" s="10" t="s">
        <v>67</v>
      </c>
      <c r="G2" s="10" t="s">
        <v>68</v>
      </c>
      <c r="H2" s="10"/>
      <c r="I2" s="10" t="s">
        <v>69</v>
      </c>
      <c r="J2" s="10" t="s">
        <v>70</v>
      </c>
      <c r="K2" s="10" t="n">
        <v>3</v>
      </c>
      <c r="L2" s="10" t="s">
        <v>71</v>
      </c>
      <c r="M2" s="11"/>
      <c r="N2" s="11" t="s">
        <v>72</v>
      </c>
      <c r="O2" s="12"/>
      <c r="P2" s="11"/>
      <c r="Q2" s="11"/>
      <c r="R2" s="11"/>
    </row>
    <row r="3" customFormat="false" ht="15" hidden="false" customHeight="false" outlineLevel="0" collapsed="false">
      <c r="A3" s="10" t="s">
        <v>73</v>
      </c>
      <c r="B3" s="10" t="s">
        <v>63</v>
      </c>
      <c r="C3" s="10" t="s">
        <v>64</v>
      </c>
      <c r="D3" s="10" t="s">
        <v>74</v>
      </c>
      <c r="E3" s="10" t="s">
        <v>66</v>
      </c>
      <c r="F3" s="10"/>
      <c r="G3" s="10" t="s">
        <v>68</v>
      </c>
      <c r="H3" s="10"/>
      <c r="I3" s="10" t="s">
        <v>75</v>
      </c>
      <c r="J3" s="10" t="s">
        <v>76</v>
      </c>
      <c r="K3" s="10" t="n">
        <v>1</v>
      </c>
      <c r="L3" s="10" t="s">
        <v>77</v>
      </c>
      <c r="M3" s="11"/>
      <c r="N3" s="11" t="s">
        <v>72</v>
      </c>
      <c r="O3" s="12"/>
      <c r="P3" s="11"/>
      <c r="Q3" s="11"/>
      <c r="R3" s="11"/>
    </row>
    <row r="4" customFormat="false" ht="35.05" hidden="false" customHeight="false" outlineLevel="0" collapsed="false">
      <c r="A4" s="10" t="s">
        <v>78</v>
      </c>
      <c r="B4" s="10" t="s">
        <v>63</v>
      </c>
      <c r="C4" s="10" t="s">
        <v>64</v>
      </c>
      <c r="D4" s="10" t="s">
        <v>79</v>
      </c>
      <c r="E4" s="10" t="s">
        <v>66</v>
      </c>
      <c r="F4" s="10" t="s">
        <v>80</v>
      </c>
      <c r="G4" s="10" t="s">
        <v>68</v>
      </c>
      <c r="H4" s="10" t="s">
        <v>81</v>
      </c>
      <c r="I4" s="10" t="s">
        <v>82</v>
      </c>
      <c r="J4" s="10" t="s">
        <v>83</v>
      </c>
      <c r="K4" s="10" t="n">
        <v>1</v>
      </c>
      <c r="L4" s="10" t="s">
        <v>84</v>
      </c>
      <c r="M4" s="11"/>
      <c r="N4" s="11" t="s">
        <v>72</v>
      </c>
      <c r="O4" s="12"/>
      <c r="P4" s="11"/>
      <c r="Q4" s="11"/>
      <c r="R4" s="11"/>
    </row>
    <row r="5" customFormat="false" ht="35.05" hidden="false" customHeight="false" outlineLevel="0" collapsed="false">
      <c r="A5" s="10" t="s">
        <v>85</v>
      </c>
      <c r="B5" s="10" t="s">
        <v>63</v>
      </c>
      <c r="C5" s="10" t="s">
        <v>86</v>
      </c>
      <c r="D5" s="10" t="s">
        <v>87</v>
      </c>
      <c r="E5" s="10" t="s">
        <v>66</v>
      </c>
      <c r="F5" s="10" t="s">
        <v>88</v>
      </c>
      <c r="G5" s="10" t="s">
        <v>68</v>
      </c>
      <c r="H5" s="10"/>
      <c r="I5" s="10" t="s">
        <v>89</v>
      </c>
      <c r="J5" s="10" t="s">
        <v>90</v>
      </c>
      <c r="K5" s="10" t="n">
        <v>2</v>
      </c>
      <c r="L5" s="10" t="s">
        <v>91</v>
      </c>
      <c r="M5" s="11"/>
      <c r="N5" s="11" t="s">
        <v>72</v>
      </c>
      <c r="O5" s="12"/>
      <c r="P5" s="11"/>
      <c r="Q5" s="11"/>
      <c r="R5" s="11"/>
    </row>
    <row r="6" customFormat="false" ht="35.05" hidden="false" customHeight="false" outlineLevel="0" collapsed="false">
      <c r="A6" s="10" t="s">
        <v>92</v>
      </c>
      <c r="B6" s="10" t="s">
        <v>63</v>
      </c>
      <c r="C6" s="10" t="s">
        <v>86</v>
      </c>
      <c r="D6" s="10" t="s">
        <v>93</v>
      </c>
      <c r="E6" s="10" t="s">
        <v>66</v>
      </c>
      <c r="F6" s="10" t="s">
        <v>94</v>
      </c>
      <c r="G6" s="10" t="s">
        <v>68</v>
      </c>
      <c r="H6" s="10"/>
      <c r="I6" s="10" t="s">
        <v>95</v>
      </c>
      <c r="J6" s="10" t="s">
        <v>96</v>
      </c>
      <c r="K6" s="10" t="n">
        <v>2</v>
      </c>
      <c r="L6" s="10" t="s">
        <v>97</v>
      </c>
      <c r="M6" s="11"/>
      <c r="N6" s="11" t="s">
        <v>72</v>
      </c>
      <c r="O6" s="12"/>
      <c r="P6" s="11"/>
      <c r="Q6" s="11"/>
      <c r="R6" s="11"/>
    </row>
    <row r="7" customFormat="false" ht="23.85" hidden="false" customHeight="false" outlineLevel="0" collapsed="false">
      <c r="A7" s="10" t="s">
        <v>98</v>
      </c>
      <c r="B7" s="10" t="s">
        <v>63</v>
      </c>
      <c r="C7" s="10" t="s">
        <v>86</v>
      </c>
      <c r="D7" s="10" t="s">
        <v>99</v>
      </c>
      <c r="E7" s="10" t="s">
        <v>66</v>
      </c>
      <c r="F7" s="10" t="s">
        <v>100</v>
      </c>
      <c r="G7" s="10" t="s">
        <v>68</v>
      </c>
      <c r="H7" s="10"/>
      <c r="I7" s="10" t="s">
        <v>101</v>
      </c>
      <c r="J7" s="10" t="s">
        <v>102</v>
      </c>
      <c r="K7" s="10" t="n">
        <v>1</v>
      </c>
      <c r="L7" s="10" t="s">
        <v>103</v>
      </c>
      <c r="M7" s="11"/>
      <c r="N7" s="11" t="s">
        <v>72</v>
      </c>
      <c r="O7" s="12"/>
      <c r="P7" s="11"/>
      <c r="Q7" s="11"/>
      <c r="R7" s="11"/>
    </row>
    <row r="8" customFormat="false" ht="35.05" hidden="false" customHeight="false" outlineLevel="0" collapsed="false">
      <c r="A8" s="10" t="s">
        <v>104</v>
      </c>
      <c r="B8" s="10" t="s">
        <v>63</v>
      </c>
      <c r="C8" s="10" t="s">
        <v>86</v>
      </c>
      <c r="D8" s="10" t="s">
        <v>105</v>
      </c>
      <c r="E8" s="10" t="s">
        <v>106</v>
      </c>
      <c r="F8" s="10" t="s">
        <v>100</v>
      </c>
      <c r="G8" s="10" t="s">
        <v>68</v>
      </c>
      <c r="H8" s="10"/>
      <c r="I8" s="10" t="s">
        <v>107</v>
      </c>
      <c r="J8" s="10" t="s">
        <v>108</v>
      </c>
      <c r="K8" s="10" t="n">
        <v>1</v>
      </c>
      <c r="L8" s="10" t="s">
        <v>109</v>
      </c>
      <c r="M8" s="11"/>
      <c r="N8" s="11" t="s">
        <v>72</v>
      </c>
      <c r="O8" s="12"/>
      <c r="P8" s="11"/>
      <c r="Q8" s="11"/>
      <c r="R8" s="11"/>
    </row>
    <row r="9" customFormat="false" ht="46.25" hidden="false" customHeight="false" outlineLevel="0" collapsed="false">
      <c r="A9" s="10" t="s">
        <v>110</v>
      </c>
      <c r="B9" s="10" t="s">
        <v>63</v>
      </c>
      <c r="C9" s="10" t="s">
        <v>86</v>
      </c>
      <c r="D9" s="10" t="s">
        <v>111</v>
      </c>
      <c r="E9" s="10" t="s">
        <v>66</v>
      </c>
      <c r="F9" s="10" t="s">
        <v>100</v>
      </c>
      <c r="G9" s="10" t="s">
        <v>68</v>
      </c>
      <c r="H9" s="10"/>
      <c r="I9" s="10" t="s">
        <v>112</v>
      </c>
      <c r="J9" s="10" t="s">
        <v>113</v>
      </c>
      <c r="K9" s="10" t="n">
        <v>3</v>
      </c>
      <c r="L9" s="10" t="s">
        <v>114</v>
      </c>
      <c r="M9" s="11"/>
      <c r="N9" s="11" t="s">
        <v>72</v>
      </c>
      <c r="O9" s="12"/>
      <c r="P9" s="11"/>
      <c r="Q9" s="11"/>
      <c r="R9" s="11"/>
    </row>
    <row r="10" customFormat="false" ht="35.05" hidden="false" customHeight="false" outlineLevel="0" collapsed="false">
      <c r="A10" s="10" t="s">
        <v>115</v>
      </c>
      <c r="B10" s="10" t="s">
        <v>63</v>
      </c>
      <c r="C10" s="10" t="s">
        <v>86</v>
      </c>
      <c r="D10" s="10" t="s">
        <v>116</v>
      </c>
      <c r="E10" s="10" t="s">
        <v>66</v>
      </c>
      <c r="F10" s="10"/>
      <c r="G10" s="10" t="s">
        <v>68</v>
      </c>
      <c r="H10" s="10"/>
      <c r="I10" s="10" t="s">
        <v>117</v>
      </c>
      <c r="J10" s="10" t="s">
        <v>118</v>
      </c>
      <c r="K10" s="10" t="n">
        <v>2</v>
      </c>
      <c r="L10" s="10" t="s">
        <v>119</v>
      </c>
      <c r="M10" s="11"/>
      <c r="N10" s="11" t="s">
        <v>72</v>
      </c>
      <c r="O10" s="12"/>
      <c r="P10" s="11"/>
      <c r="Q10" s="11"/>
      <c r="R10" s="11"/>
    </row>
    <row r="11" customFormat="false" ht="15" hidden="false" customHeight="false" outlineLevel="0" collapsed="false">
      <c r="A11" s="10" t="s">
        <v>120</v>
      </c>
      <c r="B11" s="10" t="s">
        <v>63</v>
      </c>
      <c r="C11" s="10" t="s">
        <v>86</v>
      </c>
      <c r="D11" s="10" t="s">
        <v>121</v>
      </c>
      <c r="E11" s="10" t="s">
        <v>106</v>
      </c>
      <c r="F11" s="10"/>
      <c r="G11" s="10" t="s">
        <v>68</v>
      </c>
      <c r="H11" s="10"/>
      <c r="I11" s="10" t="s">
        <v>122</v>
      </c>
      <c r="J11" s="10" t="s">
        <v>123</v>
      </c>
      <c r="K11" s="10" t="n">
        <v>0</v>
      </c>
      <c r="L11" s="10"/>
      <c r="M11" s="11"/>
      <c r="N11" s="11" t="s">
        <v>72</v>
      </c>
      <c r="O11" s="12"/>
      <c r="P11" s="11"/>
      <c r="Q11" s="11"/>
      <c r="R11" s="11"/>
    </row>
    <row r="12" customFormat="false" ht="46.25" hidden="false" customHeight="false" outlineLevel="0" collapsed="false">
      <c r="A12" s="10" t="s">
        <v>124</v>
      </c>
      <c r="B12" s="10" t="s">
        <v>63</v>
      </c>
      <c r="C12" s="10" t="s">
        <v>86</v>
      </c>
      <c r="D12" s="10" t="s">
        <v>125</v>
      </c>
      <c r="E12" s="10" t="s">
        <v>66</v>
      </c>
      <c r="F12" s="10" t="s">
        <v>94</v>
      </c>
      <c r="G12" s="10" t="s">
        <v>68</v>
      </c>
      <c r="H12" s="10"/>
      <c r="I12" s="10" t="s">
        <v>126</v>
      </c>
      <c r="J12" s="10" t="s">
        <v>127</v>
      </c>
      <c r="K12" s="10" t="n">
        <v>1</v>
      </c>
      <c r="L12" s="10" t="s">
        <v>128</v>
      </c>
      <c r="M12" s="11"/>
      <c r="N12" s="11" t="s">
        <v>72</v>
      </c>
      <c r="O12" s="12"/>
      <c r="P12" s="11"/>
      <c r="Q12" s="11"/>
      <c r="R12" s="11"/>
    </row>
    <row r="13" customFormat="false" ht="23.85" hidden="false" customHeight="false" outlineLevel="0" collapsed="false">
      <c r="A13" s="10" t="s">
        <v>129</v>
      </c>
      <c r="B13" s="10" t="s">
        <v>63</v>
      </c>
      <c r="C13" s="10" t="s">
        <v>86</v>
      </c>
      <c r="D13" s="10" t="s">
        <v>130</v>
      </c>
      <c r="E13" s="10" t="s">
        <v>106</v>
      </c>
      <c r="F13" s="10" t="s">
        <v>94</v>
      </c>
      <c r="G13" s="10" t="s">
        <v>68</v>
      </c>
      <c r="H13" s="10"/>
      <c r="I13" s="10" t="s">
        <v>131</v>
      </c>
      <c r="J13" s="10" t="s">
        <v>132</v>
      </c>
      <c r="K13" s="10" t="n">
        <v>1</v>
      </c>
      <c r="L13" s="10" t="s">
        <v>133</v>
      </c>
      <c r="M13" s="11"/>
      <c r="N13" s="11" t="s">
        <v>72</v>
      </c>
      <c r="O13" s="12"/>
      <c r="P13" s="11"/>
      <c r="Q13" s="11"/>
      <c r="R13" s="11"/>
    </row>
    <row r="14" customFormat="false" ht="23.85" hidden="false" customHeight="false" outlineLevel="0" collapsed="false">
      <c r="A14" s="10" t="s">
        <v>134</v>
      </c>
      <c r="B14" s="10" t="s">
        <v>63</v>
      </c>
      <c r="C14" s="10" t="s">
        <v>86</v>
      </c>
      <c r="D14" s="10" t="s">
        <v>135</v>
      </c>
      <c r="E14" s="10" t="s">
        <v>66</v>
      </c>
      <c r="F14" s="10" t="s">
        <v>136</v>
      </c>
      <c r="G14" s="10" t="s">
        <v>68</v>
      </c>
      <c r="H14" s="10"/>
      <c r="I14" s="10" t="s">
        <v>137</v>
      </c>
      <c r="J14" s="10" t="s">
        <v>138</v>
      </c>
      <c r="K14" s="10" t="n">
        <v>1</v>
      </c>
      <c r="L14" s="10" t="s">
        <v>139</v>
      </c>
      <c r="M14" s="11"/>
      <c r="N14" s="11" t="s">
        <v>72</v>
      </c>
      <c r="O14" s="12"/>
      <c r="P14" s="11"/>
      <c r="Q14" s="11"/>
      <c r="R14" s="11"/>
    </row>
    <row r="15" customFormat="false" ht="15" hidden="false" customHeight="false" outlineLevel="0" collapsed="false">
      <c r="A15" s="10" t="s">
        <v>140</v>
      </c>
      <c r="B15" s="10" t="s">
        <v>63</v>
      </c>
      <c r="C15" s="10" t="s">
        <v>141</v>
      </c>
      <c r="D15" s="10" t="s">
        <v>142</v>
      </c>
      <c r="E15" s="10" t="s">
        <v>66</v>
      </c>
      <c r="F15" s="10" t="s">
        <v>143</v>
      </c>
      <c r="G15" s="10" t="s">
        <v>68</v>
      </c>
      <c r="H15" s="10" t="s">
        <v>144</v>
      </c>
      <c r="I15" s="10" t="s">
        <v>145</v>
      </c>
      <c r="J15" s="10" t="s">
        <v>146</v>
      </c>
      <c r="K15" s="10" t="n">
        <v>1</v>
      </c>
      <c r="L15" s="10" t="s">
        <v>147</v>
      </c>
      <c r="M15" s="11"/>
      <c r="N15" s="11" t="s">
        <v>72</v>
      </c>
      <c r="O15" s="12"/>
      <c r="P15" s="11"/>
      <c r="Q15" s="11"/>
      <c r="R15" s="11"/>
    </row>
    <row r="16" customFormat="false" ht="46.25" hidden="false" customHeight="false" outlineLevel="0" collapsed="false">
      <c r="A16" s="10" t="s">
        <v>148</v>
      </c>
      <c r="B16" s="10" t="s">
        <v>63</v>
      </c>
      <c r="C16" s="10" t="s">
        <v>141</v>
      </c>
      <c r="D16" s="10" t="s">
        <v>149</v>
      </c>
      <c r="E16" s="10" t="s">
        <v>66</v>
      </c>
      <c r="F16" s="10" t="s">
        <v>150</v>
      </c>
      <c r="G16" s="10" t="s">
        <v>68</v>
      </c>
      <c r="H16" s="10" t="s">
        <v>151</v>
      </c>
      <c r="I16" s="10" t="s">
        <v>152</v>
      </c>
      <c r="J16" s="10" t="s">
        <v>153</v>
      </c>
      <c r="K16" s="10" t="n">
        <v>3</v>
      </c>
      <c r="L16" s="10" t="s">
        <v>154</v>
      </c>
      <c r="M16" s="11"/>
      <c r="N16" s="11" t="s">
        <v>72</v>
      </c>
      <c r="O16" s="12"/>
      <c r="P16" s="11"/>
      <c r="Q16" s="11"/>
      <c r="R16" s="11"/>
    </row>
    <row r="17" customFormat="false" ht="23.85" hidden="false" customHeight="false" outlineLevel="0" collapsed="false">
      <c r="A17" s="10" t="s">
        <v>155</v>
      </c>
      <c r="B17" s="10" t="s">
        <v>63</v>
      </c>
      <c r="C17" s="10" t="s">
        <v>141</v>
      </c>
      <c r="D17" s="10" t="s">
        <v>156</v>
      </c>
      <c r="E17" s="10" t="s">
        <v>66</v>
      </c>
      <c r="F17" s="10"/>
      <c r="G17" s="10" t="s">
        <v>68</v>
      </c>
      <c r="H17" s="10"/>
      <c r="I17" s="10" t="s">
        <v>157</v>
      </c>
      <c r="J17" s="10" t="s">
        <v>158</v>
      </c>
      <c r="K17" s="10" t="n">
        <v>1</v>
      </c>
      <c r="L17" s="10" t="s">
        <v>159</v>
      </c>
      <c r="M17" s="11"/>
      <c r="N17" s="11" t="s">
        <v>72</v>
      </c>
      <c r="O17" s="12"/>
      <c r="P17" s="11"/>
      <c r="Q17" s="11"/>
      <c r="R17" s="11"/>
    </row>
    <row r="18" customFormat="false" ht="15" hidden="false" customHeight="false" outlineLevel="0" collapsed="false">
      <c r="A18" s="10" t="s">
        <v>160</v>
      </c>
      <c r="B18" s="10" t="s">
        <v>63</v>
      </c>
      <c r="C18" s="10" t="s">
        <v>141</v>
      </c>
      <c r="D18" s="10" t="s">
        <v>161</v>
      </c>
      <c r="E18" s="10" t="s">
        <v>106</v>
      </c>
      <c r="F18" s="10"/>
      <c r="G18" s="10" t="s">
        <v>68</v>
      </c>
      <c r="H18" s="10"/>
      <c r="I18" s="10" t="s">
        <v>162</v>
      </c>
      <c r="J18" s="10" t="s">
        <v>163</v>
      </c>
      <c r="K18" s="10" t="n">
        <v>0</v>
      </c>
      <c r="L18" s="10"/>
      <c r="M18" s="11"/>
      <c r="N18" s="11" t="s">
        <v>72</v>
      </c>
      <c r="O18" s="12"/>
      <c r="P18" s="11"/>
      <c r="Q18" s="11"/>
      <c r="R18" s="11"/>
    </row>
    <row r="19" customFormat="false" ht="15" hidden="false" customHeight="false" outlineLevel="0" collapsed="false">
      <c r="A19" s="10" t="s">
        <v>164</v>
      </c>
      <c r="B19" s="10" t="s">
        <v>63</v>
      </c>
      <c r="C19" s="10" t="s">
        <v>141</v>
      </c>
      <c r="D19" s="10" t="s">
        <v>165</v>
      </c>
      <c r="E19" s="10" t="s">
        <v>66</v>
      </c>
      <c r="F19" s="10"/>
      <c r="G19" s="10" t="s">
        <v>68</v>
      </c>
      <c r="H19" s="10"/>
      <c r="I19" s="10" t="s">
        <v>166</v>
      </c>
      <c r="J19" s="10" t="s">
        <v>167</v>
      </c>
      <c r="K19" s="10" t="n">
        <v>0</v>
      </c>
      <c r="L19" s="10"/>
      <c r="M19" s="11"/>
      <c r="N19" s="11" t="s">
        <v>72</v>
      </c>
      <c r="O19" s="12"/>
      <c r="P19" s="11"/>
      <c r="Q19" s="11"/>
      <c r="R19" s="11"/>
    </row>
    <row r="20" customFormat="false" ht="23.85" hidden="false" customHeight="false" outlineLevel="0" collapsed="false">
      <c r="A20" s="10" t="s">
        <v>168</v>
      </c>
      <c r="B20" s="10" t="s">
        <v>63</v>
      </c>
      <c r="C20" s="10" t="s">
        <v>141</v>
      </c>
      <c r="D20" s="10" t="s">
        <v>169</v>
      </c>
      <c r="E20" s="10" t="s">
        <v>66</v>
      </c>
      <c r="F20" s="10"/>
      <c r="G20" s="10" t="s">
        <v>68</v>
      </c>
      <c r="H20" s="10"/>
      <c r="I20" s="10" t="s">
        <v>170</v>
      </c>
      <c r="J20" s="10" t="s">
        <v>171</v>
      </c>
      <c r="K20" s="10" t="n">
        <v>1</v>
      </c>
      <c r="L20" s="10" t="s">
        <v>172</v>
      </c>
      <c r="M20" s="11"/>
      <c r="N20" s="11" t="s">
        <v>72</v>
      </c>
      <c r="O20" s="12"/>
      <c r="P20" s="11"/>
      <c r="Q20" s="11"/>
      <c r="R20" s="11"/>
    </row>
    <row r="21" customFormat="false" ht="23.85" hidden="false" customHeight="false" outlineLevel="0" collapsed="false">
      <c r="A21" s="10" t="s">
        <v>173</v>
      </c>
      <c r="B21" s="10" t="s">
        <v>63</v>
      </c>
      <c r="C21" s="10" t="s">
        <v>141</v>
      </c>
      <c r="D21" s="10" t="s">
        <v>174</v>
      </c>
      <c r="E21" s="10" t="s">
        <v>106</v>
      </c>
      <c r="F21" s="10"/>
      <c r="G21" s="10" t="s">
        <v>68</v>
      </c>
      <c r="H21" s="10" t="s">
        <v>175</v>
      </c>
      <c r="I21" s="10" t="s">
        <v>176</v>
      </c>
      <c r="J21" s="10" t="s">
        <v>177</v>
      </c>
      <c r="K21" s="10" t="n">
        <v>1</v>
      </c>
      <c r="L21" s="10" t="s">
        <v>178</v>
      </c>
      <c r="M21" s="11"/>
      <c r="N21" s="11" t="s">
        <v>72</v>
      </c>
      <c r="O21" s="12"/>
      <c r="P21" s="11"/>
      <c r="Q21" s="11"/>
      <c r="R21" s="11"/>
    </row>
    <row r="22" customFormat="false" ht="23.85" hidden="false" customHeight="false" outlineLevel="0" collapsed="false">
      <c r="A22" s="10" t="s">
        <v>179</v>
      </c>
      <c r="B22" s="10" t="s">
        <v>63</v>
      </c>
      <c r="C22" s="10" t="s">
        <v>141</v>
      </c>
      <c r="D22" s="10" t="s">
        <v>180</v>
      </c>
      <c r="E22" s="10" t="s">
        <v>106</v>
      </c>
      <c r="F22" s="10"/>
      <c r="G22" s="10" t="s">
        <v>68</v>
      </c>
      <c r="H22" s="10"/>
      <c r="I22" s="10" t="s">
        <v>181</v>
      </c>
      <c r="J22" s="10" t="s">
        <v>182</v>
      </c>
      <c r="K22" s="10" t="n">
        <v>1</v>
      </c>
      <c r="L22" s="10" t="s">
        <v>183</v>
      </c>
      <c r="M22" s="11"/>
      <c r="N22" s="11" t="s">
        <v>72</v>
      </c>
      <c r="O22" s="12"/>
      <c r="P22" s="11"/>
      <c r="Q22" s="11"/>
      <c r="R22" s="11"/>
    </row>
    <row r="23" customFormat="false" ht="23.85" hidden="false" customHeight="false" outlineLevel="0" collapsed="false">
      <c r="A23" s="10" t="s">
        <v>184</v>
      </c>
      <c r="B23" s="10" t="s">
        <v>63</v>
      </c>
      <c r="C23" s="10" t="s">
        <v>141</v>
      </c>
      <c r="D23" s="10" t="s">
        <v>185</v>
      </c>
      <c r="E23" s="10" t="s">
        <v>106</v>
      </c>
      <c r="F23" s="10" t="s">
        <v>186</v>
      </c>
      <c r="G23" s="10" t="s">
        <v>68</v>
      </c>
      <c r="H23" s="10" t="s">
        <v>187</v>
      </c>
      <c r="I23" s="10" t="s">
        <v>188</v>
      </c>
      <c r="J23" s="10" t="s">
        <v>189</v>
      </c>
      <c r="K23" s="10" t="n">
        <v>1</v>
      </c>
      <c r="L23" s="10" t="s">
        <v>190</v>
      </c>
      <c r="M23" s="11"/>
      <c r="N23" s="11" t="s">
        <v>72</v>
      </c>
      <c r="O23" s="12"/>
      <c r="P23" s="11"/>
      <c r="Q23" s="11"/>
      <c r="R23" s="11"/>
    </row>
    <row r="24" customFormat="false" ht="23.85" hidden="false" customHeight="false" outlineLevel="0" collapsed="false">
      <c r="A24" s="10" t="s">
        <v>191</v>
      </c>
      <c r="B24" s="10" t="s">
        <v>63</v>
      </c>
      <c r="C24" s="10" t="s">
        <v>141</v>
      </c>
      <c r="D24" s="10" t="s">
        <v>192</v>
      </c>
      <c r="E24" s="10" t="s">
        <v>66</v>
      </c>
      <c r="F24" s="10"/>
      <c r="G24" s="10" t="s">
        <v>68</v>
      </c>
      <c r="H24" s="10"/>
      <c r="I24" s="10" t="s">
        <v>193</v>
      </c>
      <c r="J24" s="10" t="s">
        <v>194</v>
      </c>
      <c r="K24" s="10" t="n">
        <v>1</v>
      </c>
      <c r="L24" s="10" t="s">
        <v>195</v>
      </c>
      <c r="M24" s="11"/>
      <c r="N24" s="11" t="s">
        <v>72</v>
      </c>
      <c r="O24" s="12"/>
      <c r="P24" s="11"/>
      <c r="Q24" s="11"/>
      <c r="R24" s="11"/>
    </row>
    <row r="25" customFormat="false" ht="68.65" hidden="false" customHeight="false" outlineLevel="0" collapsed="false">
      <c r="A25" s="10" t="s">
        <v>196</v>
      </c>
      <c r="B25" s="10" t="s">
        <v>63</v>
      </c>
      <c r="C25" s="10" t="s">
        <v>141</v>
      </c>
      <c r="D25" s="10" t="s">
        <v>197</v>
      </c>
      <c r="E25" s="10" t="s">
        <v>66</v>
      </c>
      <c r="F25" s="10" t="s">
        <v>198</v>
      </c>
      <c r="G25" s="10" t="s">
        <v>68</v>
      </c>
      <c r="H25" s="10"/>
      <c r="I25" s="10" t="s">
        <v>199</v>
      </c>
      <c r="J25" s="10" t="s">
        <v>200</v>
      </c>
      <c r="K25" s="10" t="n">
        <v>5</v>
      </c>
      <c r="L25" s="10" t="s">
        <v>201</v>
      </c>
      <c r="M25" s="11"/>
      <c r="N25" s="11" t="s">
        <v>72</v>
      </c>
      <c r="O25" s="12"/>
      <c r="P25" s="11"/>
      <c r="Q25" s="11"/>
      <c r="R25" s="11"/>
    </row>
    <row r="26" customFormat="false" ht="23.85" hidden="false" customHeight="false" outlineLevel="0" collapsed="false">
      <c r="A26" s="10" t="s">
        <v>202</v>
      </c>
      <c r="B26" s="10" t="s">
        <v>203</v>
      </c>
      <c r="C26" s="10"/>
      <c r="D26" s="10" t="s">
        <v>204</v>
      </c>
      <c r="E26" s="10" t="s">
        <v>106</v>
      </c>
      <c r="F26" s="10"/>
      <c r="G26" s="10" t="s">
        <v>68</v>
      </c>
      <c r="H26" s="10"/>
      <c r="I26" s="10" t="s">
        <v>205</v>
      </c>
      <c r="J26" s="10" t="s">
        <v>206</v>
      </c>
      <c r="K26" s="10" t="n">
        <v>0</v>
      </c>
      <c r="L26" s="10"/>
      <c r="M26" s="11"/>
      <c r="N26" s="11" t="s">
        <v>72</v>
      </c>
      <c r="O26" s="12"/>
      <c r="P26" s="11"/>
      <c r="Q26" s="11"/>
      <c r="R26" s="11"/>
    </row>
    <row r="27" customFormat="false" ht="15" hidden="false" customHeight="false" outlineLevel="0" collapsed="false">
      <c r="A27" s="10" t="s">
        <v>207</v>
      </c>
      <c r="B27" s="10" t="s">
        <v>203</v>
      </c>
      <c r="C27" s="10"/>
      <c r="D27" s="10" t="s">
        <v>208</v>
      </c>
      <c r="E27" s="10" t="s">
        <v>106</v>
      </c>
      <c r="F27" s="10"/>
      <c r="G27" s="10" t="s">
        <v>68</v>
      </c>
      <c r="H27" s="10"/>
      <c r="I27" s="10" t="s">
        <v>209</v>
      </c>
      <c r="J27" s="10" t="s">
        <v>210</v>
      </c>
      <c r="K27" s="10" t="n">
        <v>0</v>
      </c>
      <c r="L27" s="10"/>
      <c r="M27" s="11"/>
      <c r="N27" s="11" t="s">
        <v>72</v>
      </c>
      <c r="O27" s="12"/>
      <c r="P27" s="11"/>
      <c r="Q27" s="11"/>
      <c r="R27" s="11"/>
    </row>
    <row r="28" customFormat="false" ht="15" hidden="false" customHeight="false" outlineLevel="0" collapsed="false">
      <c r="A28" s="10" t="s">
        <v>211</v>
      </c>
      <c r="B28" s="10" t="s">
        <v>203</v>
      </c>
      <c r="C28" s="10"/>
      <c r="D28" s="10" t="s">
        <v>212</v>
      </c>
      <c r="E28" s="10" t="s">
        <v>66</v>
      </c>
      <c r="F28" s="10"/>
      <c r="G28" s="10" t="s">
        <v>68</v>
      </c>
      <c r="H28" s="10"/>
      <c r="I28" s="10" t="s">
        <v>213</v>
      </c>
      <c r="J28" s="10" t="s">
        <v>214</v>
      </c>
      <c r="K28" s="10" t="n">
        <v>0</v>
      </c>
      <c r="L28" s="10"/>
      <c r="M28" s="11"/>
      <c r="N28" s="11" t="s">
        <v>72</v>
      </c>
      <c r="O28" s="12"/>
      <c r="P28" s="11"/>
      <c r="Q28" s="11"/>
      <c r="R28" s="11"/>
    </row>
    <row r="29" customFormat="false" ht="46.25" hidden="false" customHeight="false" outlineLevel="0" collapsed="false">
      <c r="A29" s="10" t="s">
        <v>215</v>
      </c>
      <c r="B29" s="10" t="s">
        <v>203</v>
      </c>
      <c r="C29" s="10"/>
      <c r="D29" s="10" t="s">
        <v>216</v>
      </c>
      <c r="E29" s="10" t="s">
        <v>66</v>
      </c>
      <c r="F29" s="10" t="s">
        <v>217</v>
      </c>
      <c r="G29" s="10" t="s">
        <v>68</v>
      </c>
      <c r="H29" s="10"/>
      <c r="I29" s="10" t="s">
        <v>218</v>
      </c>
      <c r="J29" s="10" t="s">
        <v>219</v>
      </c>
      <c r="K29" s="10" t="n">
        <v>2</v>
      </c>
      <c r="L29" s="10" t="s">
        <v>220</v>
      </c>
      <c r="M29" s="11"/>
      <c r="N29" s="11" t="s">
        <v>72</v>
      </c>
      <c r="O29" s="12"/>
      <c r="P29" s="11"/>
      <c r="Q29" s="11"/>
      <c r="R29" s="11"/>
    </row>
    <row r="30" customFormat="false" ht="23.85" hidden="false" customHeight="false" outlineLevel="0" collapsed="false">
      <c r="A30" s="10" t="s">
        <v>221</v>
      </c>
      <c r="B30" s="10" t="s">
        <v>203</v>
      </c>
      <c r="C30" s="10"/>
      <c r="D30" s="10" t="s">
        <v>222</v>
      </c>
      <c r="E30" s="10" t="s">
        <v>106</v>
      </c>
      <c r="F30" s="10"/>
      <c r="G30" s="10" t="s">
        <v>68</v>
      </c>
      <c r="H30" s="10"/>
      <c r="I30" s="10" t="s">
        <v>223</v>
      </c>
      <c r="J30" s="10" t="s">
        <v>224</v>
      </c>
      <c r="K30" s="10" t="n">
        <v>1</v>
      </c>
      <c r="L30" s="10" t="s">
        <v>225</v>
      </c>
      <c r="M30" s="11"/>
      <c r="N30" s="11" t="s">
        <v>72</v>
      </c>
      <c r="O30" s="12"/>
      <c r="P30" s="11"/>
      <c r="Q30" s="11"/>
      <c r="R30" s="11"/>
    </row>
    <row r="31" customFormat="false" ht="23.85" hidden="false" customHeight="false" outlineLevel="0" collapsed="false">
      <c r="A31" s="10" t="s">
        <v>226</v>
      </c>
      <c r="B31" s="10" t="s">
        <v>203</v>
      </c>
      <c r="C31" s="10"/>
      <c r="D31" s="10" t="s">
        <v>227</v>
      </c>
      <c r="E31" s="10" t="s">
        <v>106</v>
      </c>
      <c r="F31" s="10"/>
      <c r="G31" s="10" t="s">
        <v>68</v>
      </c>
      <c r="H31" s="10"/>
      <c r="I31" s="10" t="s">
        <v>228</v>
      </c>
      <c r="J31" s="10" t="s">
        <v>229</v>
      </c>
      <c r="K31" s="10" t="n">
        <v>1</v>
      </c>
      <c r="L31" s="10" t="s">
        <v>230</v>
      </c>
      <c r="M31" s="11"/>
      <c r="N31" s="11" t="s">
        <v>72</v>
      </c>
      <c r="O31" s="12"/>
      <c r="P31" s="11"/>
      <c r="Q31" s="11"/>
      <c r="R31" s="11"/>
    </row>
    <row r="32" customFormat="false" ht="46.25" hidden="false" customHeight="false" outlineLevel="0" collapsed="false">
      <c r="A32" s="10" t="s">
        <v>231</v>
      </c>
      <c r="B32" s="10" t="s">
        <v>203</v>
      </c>
      <c r="C32" s="10"/>
      <c r="D32" s="10" t="s">
        <v>232</v>
      </c>
      <c r="E32" s="10" t="s">
        <v>106</v>
      </c>
      <c r="F32" s="10" t="s">
        <v>233</v>
      </c>
      <c r="G32" s="10" t="s">
        <v>68</v>
      </c>
      <c r="H32" s="10"/>
      <c r="I32" s="10" t="s">
        <v>234</v>
      </c>
      <c r="J32" s="10" t="s">
        <v>235</v>
      </c>
      <c r="K32" s="10" t="n">
        <v>2</v>
      </c>
      <c r="L32" s="10" t="s">
        <v>236</v>
      </c>
      <c r="M32" s="11"/>
      <c r="N32" s="11" t="s">
        <v>72</v>
      </c>
      <c r="O32" s="12"/>
      <c r="P32" s="11"/>
      <c r="Q32" s="11"/>
      <c r="R32" s="11"/>
    </row>
    <row r="33" customFormat="false" ht="46.25" hidden="false" customHeight="false" outlineLevel="0" collapsed="false">
      <c r="A33" s="10" t="s">
        <v>237</v>
      </c>
      <c r="B33" s="10" t="s">
        <v>203</v>
      </c>
      <c r="C33" s="10"/>
      <c r="D33" s="10" t="s">
        <v>238</v>
      </c>
      <c r="E33" s="10" t="s">
        <v>66</v>
      </c>
      <c r="F33" s="10" t="s">
        <v>217</v>
      </c>
      <c r="G33" s="10" t="s">
        <v>68</v>
      </c>
      <c r="H33" s="10"/>
      <c r="I33" s="10" t="s">
        <v>239</v>
      </c>
      <c r="J33" s="10" t="s">
        <v>240</v>
      </c>
      <c r="K33" s="10" t="n">
        <v>2</v>
      </c>
      <c r="L33" s="10" t="s">
        <v>241</v>
      </c>
      <c r="M33" s="11"/>
      <c r="N33" s="11" t="s">
        <v>72</v>
      </c>
      <c r="O33" s="12"/>
      <c r="P33" s="11"/>
      <c r="Q33" s="11"/>
      <c r="R33" s="11"/>
    </row>
    <row r="34" customFormat="false" ht="46.25" hidden="false" customHeight="false" outlineLevel="0" collapsed="false">
      <c r="A34" s="10" t="s">
        <v>242</v>
      </c>
      <c r="B34" s="10" t="s">
        <v>203</v>
      </c>
      <c r="C34" s="10"/>
      <c r="D34" s="10" t="s">
        <v>243</v>
      </c>
      <c r="E34" s="10" t="s">
        <v>66</v>
      </c>
      <c r="F34" s="10"/>
      <c r="G34" s="10" t="s">
        <v>68</v>
      </c>
      <c r="H34" s="10"/>
      <c r="I34" s="10" t="s">
        <v>244</v>
      </c>
      <c r="J34" s="10" t="s">
        <v>245</v>
      </c>
      <c r="K34" s="10" t="n">
        <v>2</v>
      </c>
      <c r="L34" s="10" t="s">
        <v>246</v>
      </c>
      <c r="M34" s="11"/>
      <c r="N34" s="11" t="s">
        <v>72</v>
      </c>
      <c r="O34" s="12"/>
      <c r="P34" s="11"/>
      <c r="Q34" s="11"/>
      <c r="R34" s="11"/>
    </row>
    <row r="35" customFormat="false" ht="35.05" hidden="false" customHeight="false" outlineLevel="0" collapsed="false">
      <c r="A35" s="10" t="s">
        <v>247</v>
      </c>
      <c r="B35" s="10" t="s">
        <v>203</v>
      </c>
      <c r="C35" s="10"/>
      <c r="D35" s="10" t="s">
        <v>248</v>
      </c>
      <c r="E35" s="10" t="s">
        <v>249</v>
      </c>
      <c r="F35" s="10"/>
      <c r="G35" s="10" t="s">
        <v>68</v>
      </c>
      <c r="H35" s="10"/>
      <c r="I35" s="10" t="s">
        <v>250</v>
      </c>
      <c r="J35" s="10" t="s">
        <v>251</v>
      </c>
      <c r="K35" s="10" t="n">
        <v>0</v>
      </c>
      <c r="L35" s="10"/>
      <c r="M35" s="11"/>
      <c r="N35" s="11" t="s">
        <v>72</v>
      </c>
      <c r="O35" s="12"/>
      <c r="P35" s="11"/>
      <c r="Q35" s="11"/>
      <c r="R35" s="11"/>
    </row>
    <row r="36" customFormat="false" ht="23.85" hidden="false" customHeight="false" outlineLevel="0" collapsed="false">
      <c r="A36" s="10" t="s">
        <v>252</v>
      </c>
      <c r="B36" s="10" t="s">
        <v>253</v>
      </c>
      <c r="C36" s="10"/>
      <c r="D36" s="10" t="s">
        <v>254</v>
      </c>
      <c r="E36" s="10" t="s">
        <v>106</v>
      </c>
      <c r="F36" s="10" t="s">
        <v>255</v>
      </c>
      <c r="G36" s="10" t="s">
        <v>68</v>
      </c>
      <c r="H36" s="10"/>
      <c r="I36" s="10" t="s">
        <v>256</v>
      </c>
      <c r="J36" s="10" t="s">
        <v>257</v>
      </c>
      <c r="K36" s="10" t="n">
        <v>1</v>
      </c>
      <c r="L36" s="10" t="s">
        <v>258</v>
      </c>
      <c r="M36" s="11"/>
      <c r="N36" s="11" t="s">
        <v>72</v>
      </c>
      <c r="O36" s="12"/>
      <c r="P36" s="11"/>
      <c r="Q36" s="11"/>
      <c r="R36" s="11"/>
    </row>
    <row r="37" customFormat="false" ht="46.25" hidden="false" customHeight="false" outlineLevel="0" collapsed="false">
      <c r="A37" s="10" t="s">
        <v>259</v>
      </c>
      <c r="B37" s="10" t="s">
        <v>253</v>
      </c>
      <c r="C37" s="10"/>
      <c r="D37" s="10" t="s">
        <v>260</v>
      </c>
      <c r="E37" s="10" t="s">
        <v>66</v>
      </c>
      <c r="F37" s="10" t="s">
        <v>255</v>
      </c>
      <c r="G37" s="10" t="s">
        <v>68</v>
      </c>
      <c r="H37" s="10" t="s">
        <v>261</v>
      </c>
      <c r="I37" s="10" t="s">
        <v>262</v>
      </c>
      <c r="J37" s="10" t="s">
        <v>263</v>
      </c>
      <c r="K37" s="10" t="n">
        <v>3</v>
      </c>
      <c r="L37" s="10" t="s">
        <v>264</v>
      </c>
      <c r="M37" s="11"/>
      <c r="N37" s="11" t="s">
        <v>72</v>
      </c>
      <c r="O37" s="12"/>
      <c r="P37" s="11"/>
      <c r="Q37" s="11"/>
      <c r="R37" s="11"/>
    </row>
    <row r="38" customFormat="false" ht="35.05" hidden="false" customHeight="false" outlineLevel="0" collapsed="false">
      <c r="A38" s="10" t="s">
        <v>265</v>
      </c>
      <c r="B38" s="10" t="s">
        <v>253</v>
      </c>
      <c r="C38" s="10"/>
      <c r="D38" s="10" t="s">
        <v>266</v>
      </c>
      <c r="E38" s="10" t="s">
        <v>106</v>
      </c>
      <c r="F38" s="10" t="s">
        <v>255</v>
      </c>
      <c r="G38" s="10" t="s">
        <v>68</v>
      </c>
      <c r="H38" s="10"/>
      <c r="I38" s="10" t="s">
        <v>267</v>
      </c>
      <c r="J38" s="10" t="s">
        <v>268</v>
      </c>
      <c r="K38" s="10" t="n">
        <v>2</v>
      </c>
      <c r="L38" s="10" t="s">
        <v>269</v>
      </c>
      <c r="M38" s="11"/>
      <c r="N38" s="11" t="s">
        <v>72</v>
      </c>
      <c r="O38" s="12"/>
      <c r="P38" s="11"/>
      <c r="Q38" s="11"/>
      <c r="R38" s="11"/>
    </row>
    <row r="39" customFormat="false" ht="35.05" hidden="false" customHeight="false" outlineLevel="0" collapsed="false">
      <c r="A39" s="10" t="s">
        <v>270</v>
      </c>
      <c r="B39" s="10" t="s">
        <v>253</v>
      </c>
      <c r="C39" s="10"/>
      <c r="D39" s="10" t="s">
        <v>271</v>
      </c>
      <c r="E39" s="10" t="s">
        <v>249</v>
      </c>
      <c r="F39" s="10"/>
      <c r="G39" s="10" t="s">
        <v>68</v>
      </c>
      <c r="H39" s="10"/>
      <c r="I39" s="10" t="s">
        <v>272</v>
      </c>
      <c r="J39" s="10" t="s">
        <v>273</v>
      </c>
      <c r="K39" s="10" t="n">
        <v>2</v>
      </c>
      <c r="L39" s="10" t="s">
        <v>274</v>
      </c>
      <c r="M39" s="11"/>
      <c r="N39" s="11" t="s">
        <v>72</v>
      </c>
      <c r="O39" s="12"/>
      <c r="P39" s="11"/>
      <c r="Q39" s="11"/>
      <c r="R39" s="11"/>
    </row>
    <row r="40" customFormat="false" ht="35.05" hidden="false" customHeight="false" outlineLevel="0" collapsed="false">
      <c r="A40" s="10" t="s">
        <v>275</v>
      </c>
      <c r="B40" s="10" t="s">
        <v>253</v>
      </c>
      <c r="C40" s="10"/>
      <c r="D40" s="10" t="s">
        <v>276</v>
      </c>
      <c r="E40" s="10" t="s">
        <v>66</v>
      </c>
      <c r="F40" s="10"/>
      <c r="G40" s="10" t="s">
        <v>68</v>
      </c>
      <c r="H40" s="10"/>
      <c r="I40" s="10" t="s">
        <v>277</v>
      </c>
      <c r="J40" s="10" t="s">
        <v>278</v>
      </c>
      <c r="K40" s="10" t="n">
        <v>3</v>
      </c>
      <c r="L40" s="10" t="s">
        <v>279</v>
      </c>
      <c r="M40" s="11"/>
      <c r="N40" s="11" t="s">
        <v>72</v>
      </c>
      <c r="O40" s="12"/>
      <c r="P40" s="11"/>
      <c r="Q40" s="11"/>
      <c r="R40" s="11"/>
    </row>
    <row r="41" customFormat="false" ht="35.05" hidden="false" customHeight="false" outlineLevel="0" collapsed="false">
      <c r="A41" s="10" t="s">
        <v>280</v>
      </c>
      <c r="B41" s="10" t="s">
        <v>253</v>
      </c>
      <c r="C41" s="10"/>
      <c r="D41" s="10" t="s">
        <v>281</v>
      </c>
      <c r="E41" s="10" t="s">
        <v>106</v>
      </c>
      <c r="F41" s="10"/>
      <c r="G41" s="10" t="s">
        <v>68</v>
      </c>
      <c r="H41" s="10"/>
      <c r="I41" s="10" t="s">
        <v>282</v>
      </c>
      <c r="J41" s="10" t="s">
        <v>283</v>
      </c>
      <c r="K41" s="10" t="n">
        <v>2</v>
      </c>
      <c r="L41" s="10" t="s">
        <v>284</v>
      </c>
      <c r="M41" s="11"/>
      <c r="N41" s="11" t="s">
        <v>72</v>
      </c>
      <c r="O41" s="12"/>
      <c r="P41" s="11"/>
      <c r="Q41" s="11"/>
      <c r="R41" s="11"/>
    </row>
    <row r="42" customFormat="false" ht="23.85" hidden="false" customHeight="false" outlineLevel="0" collapsed="false">
      <c r="A42" s="10" t="s">
        <v>285</v>
      </c>
      <c r="B42" s="10" t="s">
        <v>253</v>
      </c>
      <c r="C42" s="10"/>
      <c r="D42" s="10" t="s">
        <v>286</v>
      </c>
      <c r="E42" s="10" t="s">
        <v>106</v>
      </c>
      <c r="F42" s="10"/>
      <c r="G42" s="10" t="s">
        <v>68</v>
      </c>
      <c r="H42" s="10"/>
      <c r="I42" s="10" t="s">
        <v>287</v>
      </c>
      <c r="J42" s="10" t="s">
        <v>288</v>
      </c>
      <c r="K42" s="10" t="n">
        <v>1</v>
      </c>
      <c r="L42" s="10" t="s">
        <v>289</v>
      </c>
      <c r="M42" s="11"/>
      <c r="N42" s="11" t="s">
        <v>72</v>
      </c>
      <c r="O42" s="12"/>
      <c r="P42" s="11"/>
      <c r="Q42" s="11"/>
      <c r="R42" s="11"/>
    </row>
    <row r="43" customFormat="false" ht="35.05" hidden="false" customHeight="false" outlineLevel="0" collapsed="false">
      <c r="A43" s="10" t="s">
        <v>290</v>
      </c>
      <c r="B43" s="10" t="s">
        <v>253</v>
      </c>
      <c r="C43" s="10"/>
      <c r="D43" s="10" t="s">
        <v>291</v>
      </c>
      <c r="E43" s="10" t="s">
        <v>66</v>
      </c>
      <c r="F43" s="10" t="s">
        <v>292</v>
      </c>
      <c r="G43" s="10" t="s">
        <v>68</v>
      </c>
      <c r="H43" s="10"/>
      <c r="I43" s="10" t="s">
        <v>293</v>
      </c>
      <c r="J43" s="10" t="s">
        <v>294</v>
      </c>
      <c r="K43" s="10" t="n">
        <v>2</v>
      </c>
      <c r="L43" s="10" t="s">
        <v>295</v>
      </c>
      <c r="M43" s="11"/>
      <c r="N43" s="11" t="s">
        <v>72</v>
      </c>
      <c r="O43" s="12"/>
      <c r="P43" s="11"/>
      <c r="Q43" s="11"/>
      <c r="R43" s="11"/>
    </row>
    <row r="44" customFormat="false" ht="23.85" hidden="false" customHeight="false" outlineLevel="0" collapsed="false">
      <c r="A44" s="10" t="s">
        <v>296</v>
      </c>
      <c r="B44" s="10" t="s">
        <v>253</v>
      </c>
      <c r="C44" s="10"/>
      <c r="D44" s="10" t="s">
        <v>297</v>
      </c>
      <c r="E44" s="10" t="s">
        <v>66</v>
      </c>
      <c r="F44" s="10" t="s">
        <v>292</v>
      </c>
      <c r="G44" s="10" t="s">
        <v>68</v>
      </c>
      <c r="H44" s="10" t="s">
        <v>298</v>
      </c>
      <c r="I44" s="10" t="s">
        <v>299</v>
      </c>
      <c r="J44" s="10" t="s">
        <v>300</v>
      </c>
      <c r="K44" s="10" t="n">
        <v>1</v>
      </c>
      <c r="L44" s="10" t="s">
        <v>301</v>
      </c>
      <c r="M44" s="11"/>
      <c r="N44" s="11" t="s">
        <v>72</v>
      </c>
      <c r="O44" s="12"/>
      <c r="P44" s="11"/>
      <c r="Q44" s="11"/>
      <c r="R44" s="11"/>
    </row>
    <row r="45" customFormat="false" ht="35.05" hidden="false" customHeight="false" outlineLevel="0" collapsed="false">
      <c r="A45" s="10" t="s">
        <v>302</v>
      </c>
      <c r="B45" s="10" t="s">
        <v>303</v>
      </c>
      <c r="C45" s="10" t="s">
        <v>304</v>
      </c>
      <c r="D45" s="10" t="s">
        <v>305</v>
      </c>
      <c r="E45" s="10" t="s">
        <v>66</v>
      </c>
      <c r="F45" s="10" t="s">
        <v>67</v>
      </c>
      <c r="G45" s="10" t="s">
        <v>306</v>
      </c>
      <c r="H45" s="10"/>
      <c r="I45" s="10" t="s">
        <v>307</v>
      </c>
      <c r="J45" s="10" t="s">
        <v>308</v>
      </c>
      <c r="K45" s="10" t="n">
        <v>3</v>
      </c>
      <c r="L45" s="10" t="s">
        <v>309</v>
      </c>
      <c r="M45" s="11"/>
      <c r="N45" s="11" t="s">
        <v>72</v>
      </c>
      <c r="O45" s="12"/>
      <c r="P45" s="11"/>
      <c r="Q45" s="11"/>
      <c r="R45" s="11"/>
    </row>
    <row r="46" customFormat="false" ht="23.85" hidden="false" customHeight="false" outlineLevel="0" collapsed="false">
      <c r="A46" s="10" t="s">
        <v>310</v>
      </c>
      <c r="B46" s="10" t="s">
        <v>303</v>
      </c>
      <c r="C46" s="10" t="s">
        <v>304</v>
      </c>
      <c r="D46" s="10" t="s">
        <v>311</v>
      </c>
      <c r="E46" s="10" t="s">
        <v>249</v>
      </c>
      <c r="F46" s="10"/>
      <c r="G46" s="10" t="s">
        <v>306</v>
      </c>
      <c r="H46" s="10"/>
      <c r="I46" s="10" t="s">
        <v>312</v>
      </c>
      <c r="J46" s="10" t="s">
        <v>313</v>
      </c>
      <c r="K46" s="10" t="n">
        <v>2</v>
      </c>
      <c r="L46" s="10" t="s">
        <v>314</v>
      </c>
      <c r="M46" s="11"/>
      <c r="N46" s="11" t="s">
        <v>72</v>
      </c>
      <c r="O46" s="12"/>
      <c r="P46" s="11"/>
      <c r="Q46" s="11"/>
      <c r="R46" s="11"/>
    </row>
    <row r="47" customFormat="false" ht="15" hidden="false" customHeight="false" outlineLevel="0" collapsed="false">
      <c r="A47" s="10" t="s">
        <v>315</v>
      </c>
      <c r="B47" s="10" t="s">
        <v>303</v>
      </c>
      <c r="C47" s="10" t="s">
        <v>304</v>
      </c>
      <c r="D47" s="10" t="s">
        <v>316</v>
      </c>
      <c r="E47" s="10" t="s">
        <v>66</v>
      </c>
      <c r="F47" s="10" t="s">
        <v>317</v>
      </c>
      <c r="G47" s="10" t="s">
        <v>306</v>
      </c>
      <c r="H47" s="10"/>
      <c r="I47" s="10" t="s">
        <v>318</v>
      </c>
      <c r="J47" s="10" t="s">
        <v>319</v>
      </c>
      <c r="K47" s="10" t="n">
        <v>1</v>
      </c>
      <c r="L47" s="10" t="s">
        <v>320</v>
      </c>
      <c r="M47" s="11"/>
      <c r="N47" s="11" t="s">
        <v>72</v>
      </c>
      <c r="O47" s="12"/>
      <c r="P47" s="11"/>
      <c r="Q47" s="11"/>
      <c r="R47" s="11"/>
    </row>
    <row r="48" customFormat="false" ht="23.85" hidden="false" customHeight="false" outlineLevel="0" collapsed="false">
      <c r="A48" s="10" t="s">
        <v>321</v>
      </c>
      <c r="B48" s="10" t="s">
        <v>303</v>
      </c>
      <c r="C48" s="10" t="s">
        <v>304</v>
      </c>
      <c r="D48" s="10" t="s">
        <v>322</v>
      </c>
      <c r="E48" s="10" t="s">
        <v>66</v>
      </c>
      <c r="F48" s="10" t="s">
        <v>80</v>
      </c>
      <c r="G48" s="10" t="s">
        <v>306</v>
      </c>
      <c r="H48" s="10"/>
      <c r="I48" s="10" t="s">
        <v>323</v>
      </c>
      <c r="J48" s="10" t="s">
        <v>324</v>
      </c>
      <c r="K48" s="10" t="n">
        <v>2</v>
      </c>
      <c r="L48" s="10" t="s">
        <v>325</v>
      </c>
      <c r="M48" s="11"/>
      <c r="N48" s="11" t="s">
        <v>72</v>
      </c>
      <c r="O48" s="12"/>
      <c r="P48" s="11"/>
      <c r="Q48" s="11"/>
      <c r="R48" s="11"/>
    </row>
    <row r="49" customFormat="false" ht="23.85" hidden="false" customHeight="false" outlineLevel="0" collapsed="false">
      <c r="A49" s="10" t="s">
        <v>326</v>
      </c>
      <c r="B49" s="10" t="s">
        <v>303</v>
      </c>
      <c r="C49" s="10" t="s">
        <v>327</v>
      </c>
      <c r="D49" s="10" t="s">
        <v>328</v>
      </c>
      <c r="E49" s="10" t="s">
        <v>66</v>
      </c>
      <c r="F49" s="10" t="s">
        <v>100</v>
      </c>
      <c r="G49" s="10" t="s">
        <v>329</v>
      </c>
      <c r="H49" s="10"/>
      <c r="I49" s="10" t="s">
        <v>330</v>
      </c>
      <c r="J49" s="10" t="s">
        <v>331</v>
      </c>
      <c r="K49" s="10" t="n">
        <v>1</v>
      </c>
      <c r="L49" s="10" t="s">
        <v>332</v>
      </c>
      <c r="M49" s="11"/>
      <c r="N49" s="11" t="s">
        <v>72</v>
      </c>
      <c r="O49" s="12"/>
      <c r="P49" s="11"/>
      <c r="Q49" s="11"/>
      <c r="R49" s="11"/>
    </row>
    <row r="50" customFormat="false" ht="35.05" hidden="false" customHeight="false" outlineLevel="0" collapsed="false">
      <c r="A50" s="10" t="s">
        <v>333</v>
      </c>
      <c r="B50" s="10" t="s">
        <v>303</v>
      </c>
      <c r="C50" s="10" t="s">
        <v>327</v>
      </c>
      <c r="D50" s="10" t="s">
        <v>334</v>
      </c>
      <c r="E50" s="10" t="s">
        <v>66</v>
      </c>
      <c r="F50" s="10" t="s">
        <v>335</v>
      </c>
      <c r="G50" s="10" t="s">
        <v>329</v>
      </c>
      <c r="H50" s="10"/>
      <c r="I50" s="10" t="s">
        <v>336</v>
      </c>
      <c r="J50" s="10" t="s">
        <v>337</v>
      </c>
      <c r="K50" s="10" t="n">
        <v>2</v>
      </c>
      <c r="L50" s="10" t="s">
        <v>338</v>
      </c>
      <c r="M50" s="11"/>
      <c r="N50" s="11" t="s">
        <v>72</v>
      </c>
      <c r="O50" s="12"/>
      <c r="P50" s="11"/>
      <c r="Q50" s="11"/>
      <c r="R50" s="11"/>
    </row>
    <row r="51" customFormat="false" ht="23.85" hidden="false" customHeight="false" outlineLevel="0" collapsed="false">
      <c r="A51" s="10" t="s">
        <v>339</v>
      </c>
      <c r="B51" s="10" t="s">
        <v>303</v>
      </c>
      <c r="C51" s="10" t="s">
        <v>327</v>
      </c>
      <c r="D51" s="10" t="s">
        <v>340</v>
      </c>
      <c r="E51" s="10" t="s">
        <v>66</v>
      </c>
      <c r="F51" s="10" t="s">
        <v>341</v>
      </c>
      <c r="G51" s="10" t="s">
        <v>329</v>
      </c>
      <c r="H51" s="10"/>
      <c r="I51" s="10" t="s">
        <v>342</v>
      </c>
      <c r="J51" s="10" t="s">
        <v>343</v>
      </c>
      <c r="K51" s="10" t="n">
        <v>0</v>
      </c>
      <c r="L51" s="10"/>
      <c r="M51" s="11"/>
      <c r="N51" s="11" t="s">
        <v>72</v>
      </c>
      <c r="O51" s="12"/>
      <c r="P51" s="11"/>
      <c r="Q51" s="11"/>
      <c r="R51" s="11"/>
    </row>
    <row r="52" customFormat="false" ht="35.05" hidden="false" customHeight="false" outlineLevel="0" collapsed="false">
      <c r="A52" s="10" t="s">
        <v>344</v>
      </c>
      <c r="B52" s="10" t="s">
        <v>303</v>
      </c>
      <c r="C52" s="10" t="s">
        <v>327</v>
      </c>
      <c r="D52" s="10" t="s">
        <v>345</v>
      </c>
      <c r="E52" s="10" t="s">
        <v>66</v>
      </c>
      <c r="F52" s="10" t="s">
        <v>346</v>
      </c>
      <c r="G52" s="10" t="s">
        <v>329</v>
      </c>
      <c r="H52" s="10"/>
      <c r="I52" s="10" t="s">
        <v>347</v>
      </c>
      <c r="J52" s="10" t="s">
        <v>348</v>
      </c>
      <c r="K52" s="10" t="n">
        <v>2</v>
      </c>
      <c r="L52" s="10" t="s">
        <v>349</v>
      </c>
      <c r="M52" s="11"/>
      <c r="N52" s="11" t="s">
        <v>72</v>
      </c>
      <c r="O52" s="12"/>
      <c r="P52" s="11"/>
      <c r="Q52" s="11"/>
      <c r="R52" s="11"/>
    </row>
    <row r="53" customFormat="false" ht="35.05" hidden="false" customHeight="false" outlineLevel="0" collapsed="false">
      <c r="A53" s="10" t="s">
        <v>350</v>
      </c>
      <c r="B53" s="10" t="s">
        <v>303</v>
      </c>
      <c r="C53" s="10" t="s">
        <v>327</v>
      </c>
      <c r="D53" s="10" t="s">
        <v>351</v>
      </c>
      <c r="E53" s="10" t="s">
        <v>249</v>
      </c>
      <c r="F53" s="10" t="s">
        <v>352</v>
      </c>
      <c r="G53" s="10" t="s">
        <v>329</v>
      </c>
      <c r="H53" s="10"/>
      <c r="I53" s="10" t="s">
        <v>353</v>
      </c>
      <c r="J53" s="10" t="s">
        <v>354</v>
      </c>
      <c r="K53" s="10" t="n">
        <v>2</v>
      </c>
      <c r="L53" s="10" t="s">
        <v>355</v>
      </c>
      <c r="M53" s="11"/>
      <c r="N53" s="11" t="s">
        <v>72</v>
      </c>
      <c r="O53" s="12"/>
      <c r="P53" s="11"/>
      <c r="Q53" s="11"/>
      <c r="R53" s="11"/>
    </row>
    <row r="54" customFormat="false" ht="23.85" hidden="false" customHeight="false" outlineLevel="0" collapsed="false">
      <c r="A54" s="10" t="s">
        <v>356</v>
      </c>
      <c r="B54" s="10" t="s">
        <v>303</v>
      </c>
      <c r="C54" s="10" t="s">
        <v>327</v>
      </c>
      <c r="D54" s="10" t="s">
        <v>357</v>
      </c>
      <c r="E54" s="10" t="s">
        <v>66</v>
      </c>
      <c r="F54" s="10" t="s">
        <v>255</v>
      </c>
      <c r="G54" s="10" t="s">
        <v>329</v>
      </c>
      <c r="H54" s="10"/>
      <c r="I54" s="10" t="s">
        <v>358</v>
      </c>
      <c r="J54" s="10" t="s">
        <v>359</v>
      </c>
      <c r="K54" s="10" t="n">
        <v>1</v>
      </c>
      <c r="L54" s="10" t="s">
        <v>360</v>
      </c>
      <c r="M54" s="11"/>
      <c r="N54" s="11" t="s">
        <v>72</v>
      </c>
      <c r="O54" s="12"/>
      <c r="P54" s="11"/>
      <c r="Q54" s="11"/>
      <c r="R54" s="11"/>
    </row>
    <row r="55" customFormat="false" ht="35.05" hidden="false" customHeight="false" outlineLevel="0" collapsed="false">
      <c r="A55" s="10" t="s">
        <v>361</v>
      </c>
      <c r="B55" s="10" t="s">
        <v>303</v>
      </c>
      <c r="C55" s="10" t="s">
        <v>362</v>
      </c>
      <c r="D55" s="10" t="s">
        <v>363</v>
      </c>
      <c r="E55" s="10" t="s">
        <v>66</v>
      </c>
      <c r="F55" s="10" t="s">
        <v>217</v>
      </c>
      <c r="G55" s="10" t="s">
        <v>329</v>
      </c>
      <c r="H55" s="10"/>
      <c r="I55" s="10" t="s">
        <v>364</v>
      </c>
      <c r="J55" s="10" t="s">
        <v>365</v>
      </c>
      <c r="K55" s="10" t="n">
        <v>1</v>
      </c>
      <c r="L55" s="10" t="s">
        <v>366</v>
      </c>
      <c r="M55" s="11"/>
      <c r="N55" s="11" t="s">
        <v>72</v>
      </c>
      <c r="O55" s="12"/>
      <c r="P55" s="11"/>
      <c r="Q55" s="11"/>
      <c r="R55" s="11"/>
    </row>
    <row r="56" customFormat="false" ht="35.05" hidden="false" customHeight="false" outlineLevel="0" collapsed="false">
      <c r="A56" s="10" t="s">
        <v>367</v>
      </c>
      <c r="B56" s="10" t="s">
        <v>303</v>
      </c>
      <c r="C56" s="10" t="s">
        <v>362</v>
      </c>
      <c r="D56" s="10" t="s">
        <v>368</v>
      </c>
      <c r="E56" s="10" t="s">
        <v>66</v>
      </c>
      <c r="F56" s="10" t="s">
        <v>369</v>
      </c>
      <c r="G56" s="10" t="s">
        <v>329</v>
      </c>
      <c r="H56" s="10"/>
      <c r="I56" s="10" t="s">
        <v>370</v>
      </c>
      <c r="J56" s="10" t="s">
        <v>371</v>
      </c>
      <c r="K56" s="10" t="n">
        <v>1</v>
      </c>
      <c r="L56" s="10" t="s">
        <v>372</v>
      </c>
      <c r="M56" s="11"/>
      <c r="N56" s="11" t="s">
        <v>72</v>
      </c>
      <c r="O56" s="12"/>
      <c r="P56" s="11"/>
      <c r="Q56" s="11"/>
      <c r="R56" s="11"/>
    </row>
    <row r="57" customFormat="false" ht="35.05" hidden="false" customHeight="false" outlineLevel="0" collapsed="false">
      <c r="A57" s="10" t="s">
        <v>373</v>
      </c>
      <c r="B57" s="10" t="s">
        <v>303</v>
      </c>
      <c r="C57" s="10" t="s">
        <v>362</v>
      </c>
      <c r="D57" s="10" t="s">
        <v>374</v>
      </c>
      <c r="E57" s="10" t="s">
        <v>66</v>
      </c>
      <c r="F57" s="10" t="s">
        <v>369</v>
      </c>
      <c r="G57" s="10" t="s">
        <v>329</v>
      </c>
      <c r="H57" s="10"/>
      <c r="I57" s="10" t="s">
        <v>375</v>
      </c>
      <c r="J57" s="10" t="s">
        <v>376</v>
      </c>
      <c r="K57" s="10" t="n">
        <v>1</v>
      </c>
      <c r="L57" s="10" t="s">
        <v>372</v>
      </c>
      <c r="M57" s="11"/>
      <c r="N57" s="11" t="s">
        <v>72</v>
      </c>
      <c r="O57" s="12"/>
      <c r="P57" s="11"/>
      <c r="Q57" s="11"/>
      <c r="R57" s="11"/>
    </row>
    <row r="58" customFormat="false" ht="35.05" hidden="false" customHeight="false" outlineLevel="0" collapsed="false">
      <c r="A58" s="10" t="s">
        <v>377</v>
      </c>
      <c r="B58" s="10" t="s">
        <v>303</v>
      </c>
      <c r="C58" s="10" t="s">
        <v>362</v>
      </c>
      <c r="D58" s="10" t="s">
        <v>378</v>
      </c>
      <c r="E58" s="10" t="s">
        <v>66</v>
      </c>
      <c r="F58" s="10" t="s">
        <v>369</v>
      </c>
      <c r="G58" s="10" t="s">
        <v>329</v>
      </c>
      <c r="H58" s="10"/>
      <c r="I58" s="10" t="s">
        <v>379</v>
      </c>
      <c r="J58" s="10" t="s">
        <v>380</v>
      </c>
      <c r="K58" s="10" t="n">
        <v>2</v>
      </c>
      <c r="L58" s="10" t="s">
        <v>381</v>
      </c>
      <c r="M58" s="11"/>
      <c r="N58" s="11" t="s">
        <v>72</v>
      </c>
      <c r="O58" s="12"/>
      <c r="P58" s="11"/>
      <c r="Q58" s="11"/>
      <c r="R58" s="11"/>
    </row>
    <row r="59" customFormat="false" ht="35.05" hidden="false" customHeight="false" outlineLevel="0" collapsed="false">
      <c r="A59" s="10" t="s">
        <v>382</v>
      </c>
      <c r="B59" s="10" t="s">
        <v>303</v>
      </c>
      <c r="C59" s="10" t="s">
        <v>362</v>
      </c>
      <c r="D59" s="10" t="s">
        <v>383</v>
      </c>
      <c r="E59" s="10" t="s">
        <v>106</v>
      </c>
      <c r="F59" s="10" t="s">
        <v>384</v>
      </c>
      <c r="G59" s="10" t="s">
        <v>329</v>
      </c>
      <c r="H59" s="10"/>
      <c r="I59" s="10" t="s">
        <v>385</v>
      </c>
      <c r="J59" s="10" t="s">
        <v>386</v>
      </c>
      <c r="K59" s="10" t="n">
        <v>1</v>
      </c>
      <c r="L59" s="10" t="s">
        <v>366</v>
      </c>
      <c r="M59" s="11"/>
      <c r="N59" s="11" t="s">
        <v>72</v>
      </c>
      <c r="O59" s="12"/>
      <c r="P59" s="11"/>
      <c r="Q59" s="11"/>
      <c r="R59" s="11"/>
    </row>
    <row r="60" customFormat="false" ht="35.05" hidden="false" customHeight="false" outlineLevel="0" collapsed="false">
      <c r="A60" s="10" t="s">
        <v>387</v>
      </c>
      <c r="B60" s="10" t="s">
        <v>388</v>
      </c>
      <c r="C60" s="10"/>
      <c r="D60" s="10" t="s">
        <v>389</v>
      </c>
      <c r="E60" s="10" t="s">
        <v>66</v>
      </c>
      <c r="F60" s="10" t="s">
        <v>335</v>
      </c>
      <c r="G60" s="10" t="s">
        <v>68</v>
      </c>
      <c r="H60" s="10" t="s">
        <v>390</v>
      </c>
      <c r="I60" s="10" t="s">
        <v>391</v>
      </c>
      <c r="J60" s="10" t="s">
        <v>392</v>
      </c>
      <c r="K60" s="10" t="n">
        <v>2</v>
      </c>
      <c r="L60" s="10" t="s">
        <v>393</v>
      </c>
      <c r="M60" s="11"/>
      <c r="N60" s="11" t="s">
        <v>72</v>
      </c>
      <c r="O60" s="12"/>
      <c r="P60" s="11"/>
      <c r="Q60" s="11"/>
      <c r="R60" s="11"/>
    </row>
    <row r="61" customFormat="false" ht="23.85" hidden="false" customHeight="false" outlineLevel="0" collapsed="false">
      <c r="A61" s="10" t="s">
        <v>394</v>
      </c>
      <c r="B61" s="10" t="s">
        <v>388</v>
      </c>
      <c r="C61" s="10"/>
      <c r="D61" s="10" t="s">
        <v>395</v>
      </c>
      <c r="E61" s="10" t="s">
        <v>66</v>
      </c>
      <c r="F61" s="10" t="s">
        <v>335</v>
      </c>
      <c r="G61" s="10" t="s">
        <v>68</v>
      </c>
      <c r="H61" s="10" t="s">
        <v>396</v>
      </c>
      <c r="I61" s="10" t="s">
        <v>397</v>
      </c>
      <c r="J61" s="10" t="s">
        <v>398</v>
      </c>
      <c r="K61" s="10" t="n">
        <v>2</v>
      </c>
      <c r="L61" s="10" t="s">
        <v>399</v>
      </c>
      <c r="M61" s="11"/>
      <c r="N61" s="11" t="s">
        <v>72</v>
      </c>
      <c r="O61" s="12"/>
      <c r="P61" s="11"/>
      <c r="Q61" s="11"/>
      <c r="R61" s="11"/>
    </row>
    <row r="62" customFormat="false" ht="46.25" hidden="false" customHeight="false" outlineLevel="0" collapsed="false">
      <c r="A62" s="10" t="s">
        <v>400</v>
      </c>
      <c r="B62" s="10" t="s">
        <v>388</v>
      </c>
      <c r="C62" s="10"/>
      <c r="D62" s="10" t="s">
        <v>401</v>
      </c>
      <c r="E62" s="10" t="s">
        <v>66</v>
      </c>
      <c r="F62" s="10" t="s">
        <v>341</v>
      </c>
      <c r="G62" s="10" t="s">
        <v>68</v>
      </c>
      <c r="H62" s="10" t="s">
        <v>402</v>
      </c>
      <c r="I62" s="10" t="s">
        <v>403</v>
      </c>
      <c r="J62" s="10" t="s">
        <v>404</v>
      </c>
      <c r="K62" s="10" t="n">
        <v>2</v>
      </c>
      <c r="L62" s="10" t="s">
        <v>405</v>
      </c>
      <c r="M62" s="11"/>
      <c r="N62" s="11" t="s">
        <v>72</v>
      </c>
      <c r="O62" s="12"/>
      <c r="P62" s="11"/>
      <c r="Q62" s="11"/>
      <c r="R62" s="11"/>
    </row>
    <row r="63" customFormat="false" ht="23.85" hidden="false" customHeight="false" outlineLevel="0" collapsed="false">
      <c r="A63" s="10" t="s">
        <v>406</v>
      </c>
      <c r="B63" s="10" t="s">
        <v>388</v>
      </c>
      <c r="C63" s="10"/>
      <c r="D63" s="10" t="s">
        <v>407</v>
      </c>
      <c r="E63" s="10" t="s">
        <v>66</v>
      </c>
      <c r="F63" s="10" t="s">
        <v>341</v>
      </c>
      <c r="G63" s="10" t="s">
        <v>68</v>
      </c>
      <c r="H63" s="10"/>
      <c r="I63" s="10" t="s">
        <v>408</v>
      </c>
      <c r="J63" s="10" t="s">
        <v>409</v>
      </c>
      <c r="K63" s="10" t="n">
        <v>1</v>
      </c>
      <c r="L63" s="10" t="s">
        <v>410</v>
      </c>
      <c r="M63" s="11"/>
      <c r="N63" s="11" t="s">
        <v>72</v>
      </c>
      <c r="O63" s="12"/>
      <c r="P63" s="11"/>
      <c r="Q63" s="11"/>
      <c r="R63" s="11"/>
    </row>
    <row r="64" customFormat="false" ht="15" hidden="false" customHeight="false" outlineLevel="0" collapsed="false">
      <c r="A64" s="10" t="s">
        <v>411</v>
      </c>
      <c r="B64" s="10" t="s">
        <v>388</v>
      </c>
      <c r="C64" s="10"/>
      <c r="D64" s="10" t="s">
        <v>412</v>
      </c>
      <c r="E64" s="10" t="s">
        <v>106</v>
      </c>
      <c r="F64" s="10"/>
      <c r="G64" s="10" t="s">
        <v>68</v>
      </c>
      <c r="H64" s="10"/>
      <c r="I64" s="10" t="s">
        <v>413</v>
      </c>
      <c r="J64" s="10" t="s">
        <v>414</v>
      </c>
      <c r="K64" s="10" t="n">
        <v>0</v>
      </c>
      <c r="L64" s="10"/>
      <c r="M64" s="11"/>
      <c r="N64" s="11" t="s">
        <v>72</v>
      </c>
      <c r="O64" s="12"/>
      <c r="P64" s="11"/>
      <c r="Q64" s="11"/>
      <c r="R64" s="11"/>
    </row>
    <row r="65" customFormat="false" ht="35.05" hidden="false" customHeight="false" outlineLevel="0" collapsed="false">
      <c r="A65" s="10" t="s">
        <v>415</v>
      </c>
      <c r="B65" s="10" t="s">
        <v>388</v>
      </c>
      <c r="C65" s="10"/>
      <c r="D65" s="10" t="s">
        <v>416</v>
      </c>
      <c r="E65" s="10" t="s">
        <v>66</v>
      </c>
      <c r="F65" s="10" t="s">
        <v>417</v>
      </c>
      <c r="G65" s="10" t="s">
        <v>68</v>
      </c>
      <c r="H65" s="10"/>
      <c r="I65" s="10" t="s">
        <v>418</v>
      </c>
      <c r="J65" s="10" t="s">
        <v>419</v>
      </c>
      <c r="K65" s="10" t="n">
        <v>2</v>
      </c>
      <c r="L65" s="10" t="s">
        <v>420</v>
      </c>
      <c r="M65" s="11"/>
      <c r="N65" s="11" t="s">
        <v>72</v>
      </c>
      <c r="O65" s="12"/>
      <c r="P65" s="11"/>
      <c r="Q65" s="11"/>
      <c r="R65" s="11"/>
    </row>
    <row r="66" customFormat="false" ht="23.85" hidden="false" customHeight="false" outlineLevel="0" collapsed="false">
      <c r="A66" s="10" t="s">
        <v>421</v>
      </c>
      <c r="B66" s="10" t="s">
        <v>388</v>
      </c>
      <c r="C66" s="10"/>
      <c r="D66" s="10" t="s">
        <v>422</v>
      </c>
      <c r="E66" s="10" t="s">
        <v>106</v>
      </c>
      <c r="F66" s="10"/>
      <c r="G66" s="10" t="s">
        <v>68</v>
      </c>
      <c r="H66" s="10"/>
      <c r="I66" s="10" t="s">
        <v>423</v>
      </c>
      <c r="J66" s="10" t="s">
        <v>424</v>
      </c>
      <c r="K66" s="10" t="n">
        <v>1</v>
      </c>
      <c r="L66" s="10" t="s">
        <v>425</v>
      </c>
      <c r="M66" s="11"/>
      <c r="N66" s="11" t="s">
        <v>72</v>
      </c>
      <c r="O66" s="12"/>
      <c r="P66" s="11"/>
      <c r="Q66" s="11"/>
      <c r="R66" s="11"/>
    </row>
    <row r="67" customFormat="false" ht="23.85" hidden="false" customHeight="false" outlineLevel="0" collapsed="false">
      <c r="A67" s="10" t="s">
        <v>426</v>
      </c>
      <c r="B67" s="10" t="s">
        <v>388</v>
      </c>
      <c r="C67" s="10"/>
      <c r="D67" s="10" t="s">
        <v>427</v>
      </c>
      <c r="E67" s="10" t="s">
        <v>66</v>
      </c>
      <c r="F67" s="10" t="s">
        <v>428</v>
      </c>
      <c r="G67" s="10" t="s">
        <v>68</v>
      </c>
      <c r="H67" s="10"/>
      <c r="I67" s="10" t="s">
        <v>429</v>
      </c>
      <c r="J67" s="10" t="s">
        <v>430</v>
      </c>
      <c r="K67" s="10" t="n">
        <v>2</v>
      </c>
      <c r="L67" s="10" t="s">
        <v>431</v>
      </c>
      <c r="M67" s="11"/>
      <c r="N67" s="11" t="s">
        <v>72</v>
      </c>
      <c r="O67" s="12"/>
      <c r="P67" s="11"/>
      <c r="Q67" s="11"/>
      <c r="R67" s="11"/>
    </row>
    <row r="68" customFormat="false" ht="23.85" hidden="false" customHeight="false" outlineLevel="0" collapsed="false">
      <c r="A68" s="10" t="s">
        <v>432</v>
      </c>
      <c r="B68" s="10" t="s">
        <v>388</v>
      </c>
      <c r="C68" s="10"/>
      <c r="D68" s="10" t="s">
        <v>433</v>
      </c>
      <c r="E68" s="10" t="s">
        <v>66</v>
      </c>
      <c r="F68" s="10"/>
      <c r="G68" s="10" t="s">
        <v>68</v>
      </c>
      <c r="H68" s="10"/>
      <c r="I68" s="10" t="s">
        <v>434</v>
      </c>
      <c r="J68" s="10" t="s">
        <v>435</v>
      </c>
      <c r="K68" s="10" t="n">
        <v>1</v>
      </c>
      <c r="L68" s="10" t="s">
        <v>436</v>
      </c>
      <c r="M68" s="11"/>
      <c r="N68" s="11" t="s">
        <v>72</v>
      </c>
      <c r="O68" s="12"/>
      <c r="P68" s="11"/>
      <c r="Q68" s="11"/>
      <c r="R68" s="11"/>
    </row>
    <row r="69" customFormat="false" ht="15" hidden="false" customHeight="false" outlineLevel="0" collapsed="false">
      <c r="A69" s="10" t="s">
        <v>437</v>
      </c>
      <c r="B69" s="10" t="s">
        <v>388</v>
      </c>
      <c r="C69" s="10"/>
      <c r="D69" s="10" t="s">
        <v>438</v>
      </c>
      <c r="E69" s="10" t="s">
        <v>66</v>
      </c>
      <c r="F69" s="10"/>
      <c r="G69" s="10" t="s">
        <v>68</v>
      </c>
      <c r="H69" s="10"/>
      <c r="I69" s="10" t="s">
        <v>439</v>
      </c>
      <c r="J69" s="10" t="s">
        <v>440</v>
      </c>
      <c r="K69" s="10" t="n">
        <v>1</v>
      </c>
      <c r="L69" s="10" t="s">
        <v>436</v>
      </c>
      <c r="M69" s="11"/>
      <c r="N69" s="11" t="s">
        <v>72</v>
      </c>
      <c r="O69" s="12"/>
      <c r="P69" s="11"/>
      <c r="Q69" s="11"/>
      <c r="R69" s="11"/>
    </row>
    <row r="70" customFormat="false" ht="23.85" hidden="false" customHeight="false" outlineLevel="0" collapsed="false">
      <c r="A70" s="10" t="s">
        <v>441</v>
      </c>
      <c r="B70" s="10" t="s">
        <v>388</v>
      </c>
      <c r="C70" s="10"/>
      <c r="D70" s="10" t="s">
        <v>442</v>
      </c>
      <c r="E70" s="10" t="s">
        <v>66</v>
      </c>
      <c r="F70" s="10"/>
      <c r="G70" s="10" t="s">
        <v>68</v>
      </c>
      <c r="H70" s="10"/>
      <c r="I70" s="10" t="s">
        <v>443</v>
      </c>
      <c r="J70" s="10" t="s">
        <v>444</v>
      </c>
      <c r="K70" s="10" t="n">
        <v>2</v>
      </c>
      <c r="L70" s="10" t="s">
        <v>445</v>
      </c>
      <c r="M70" s="11"/>
      <c r="N70" s="11" t="s">
        <v>72</v>
      </c>
      <c r="O70" s="12"/>
      <c r="P70" s="11"/>
      <c r="Q70" s="11"/>
      <c r="R70" s="11"/>
    </row>
    <row r="71" customFormat="false" ht="23.85" hidden="false" customHeight="false" outlineLevel="0" collapsed="false">
      <c r="A71" s="10" t="s">
        <v>446</v>
      </c>
      <c r="B71" s="10" t="s">
        <v>388</v>
      </c>
      <c r="C71" s="10"/>
      <c r="D71" s="10" t="s">
        <v>447</v>
      </c>
      <c r="E71" s="10" t="s">
        <v>66</v>
      </c>
      <c r="F71" s="10"/>
      <c r="G71" s="10" t="s">
        <v>68</v>
      </c>
      <c r="H71" s="10"/>
      <c r="I71" s="10" t="s">
        <v>448</v>
      </c>
      <c r="J71" s="10" t="s">
        <v>449</v>
      </c>
      <c r="K71" s="10" t="n">
        <v>2</v>
      </c>
      <c r="L71" s="10" t="s">
        <v>450</v>
      </c>
      <c r="M71" s="11"/>
      <c r="N71" s="11" t="s">
        <v>72</v>
      </c>
      <c r="O71" s="12"/>
      <c r="P71" s="11"/>
      <c r="Q71" s="11"/>
      <c r="R71" s="11"/>
    </row>
    <row r="72" customFormat="false" ht="23.85" hidden="false" customHeight="false" outlineLevel="0" collapsed="false">
      <c r="A72" s="10" t="s">
        <v>451</v>
      </c>
      <c r="B72" s="10" t="s">
        <v>388</v>
      </c>
      <c r="C72" s="10"/>
      <c r="D72" s="10" t="s">
        <v>452</v>
      </c>
      <c r="E72" s="10" t="s">
        <v>66</v>
      </c>
      <c r="F72" s="10"/>
      <c r="G72" s="10" t="s">
        <v>68</v>
      </c>
      <c r="H72" s="10"/>
      <c r="I72" s="10" t="s">
        <v>453</v>
      </c>
      <c r="J72" s="10" t="s">
        <v>454</v>
      </c>
      <c r="K72" s="10" t="n">
        <v>1</v>
      </c>
      <c r="L72" s="10" t="s">
        <v>455</v>
      </c>
      <c r="M72" s="11"/>
      <c r="N72" s="11" t="s">
        <v>72</v>
      </c>
      <c r="O72" s="12"/>
      <c r="P72" s="11"/>
      <c r="Q72" s="11"/>
      <c r="R72" s="11"/>
    </row>
    <row r="73" customFormat="false" ht="35.05" hidden="false" customHeight="false" outlineLevel="0" collapsed="false">
      <c r="A73" s="10" t="s">
        <v>456</v>
      </c>
      <c r="B73" s="10" t="s">
        <v>388</v>
      </c>
      <c r="C73" s="10"/>
      <c r="D73" s="10" t="s">
        <v>457</v>
      </c>
      <c r="E73" s="10" t="s">
        <v>66</v>
      </c>
      <c r="F73" s="10" t="s">
        <v>458</v>
      </c>
      <c r="G73" s="10" t="s">
        <v>68</v>
      </c>
      <c r="H73" s="10"/>
      <c r="I73" s="10" t="s">
        <v>459</v>
      </c>
      <c r="J73" s="10" t="s">
        <v>460</v>
      </c>
      <c r="K73" s="10" t="n">
        <v>1</v>
      </c>
      <c r="L73" s="10" t="s">
        <v>461</v>
      </c>
      <c r="M73" s="11"/>
      <c r="N73" s="11" t="s">
        <v>72</v>
      </c>
      <c r="O73" s="12"/>
      <c r="P73" s="11"/>
      <c r="Q73" s="11"/>
      <c r="R73" s="11"/>
    </row>
    <row r="74" customFormat="false" ht="15" hidden="false" customHeight="false" outlineLevel="0" collapsed="false">
      <c r="A74" s="10" t="s">
        <v>462</v>
      </c>
      <c r="B74" s="10" t="s">
        <v>388</v>
      </c>
      <c r="C74" s="10"/>
      <c r="D74" s="10" t="s">
        <v>463</v>
      </c>
      <c r="E74" s="10" t="s">
        <v>106</v>
      </c>
      <c r="F74" s="10" t="s">
        <v>428</v>
      </c>
      <c r="G74" s="10" t="s">
        <v>68</v>
      </c>
      <c r="H74" s="10"/>
      <c r="I74" s="10" t="s">
        <v>464</v>
      </c>
      <c r="J74" s="10" t="s">
        <v>465</v>
      </c>
      <c r="K74" s="10" t="n">
        <v>1</v>
      </c>
      <c r="L74" s="10" t="s">
        <v>466</v>
      </c>
      <c r="M74" s="11"/>
      <c r="N74" s="11" t="s">
        <v>72</v>
      </c>
      <c r="O74" s="12"/>
      <c r="P74" s="11"/>
      <c r="Q74" s="11"/>
      <c r="R74" s="11"/>
    </row>
    <row r="75" customFormat="false" ht="35.05" hidden="false" customHeight="false" outlineLevel="0" collapsed="false">
      <c r="A75" s="10" t="s">
        <v>467</v>
      </c>
      <c r="B75" s="10" t="s">
        <v>388</v>
      </c>
      <c r="C75" s="10"/>
      <c r="D75" s="10" t="s">
        <v>468</v>
      </c>
      <c r="E75" s="10" t="s">
        <v>66</v>
      </c>
      <c r="F75" s="10" t="s">
        <v>469</v>
      </c>
      <c r="G75" s="10" t="s">
        <v>68</v>
      </c>
      <c r="H75" s="10" t="s">
        <v>470</v>
      </c>
      <c r="I75" s="10" t="s">
        <v>471</v>
      </c>
      <c r="J75" s="10" t="s">
        <v>472</v>
      </c>
      <c r="K75" s="10" t="n">
        <v>1</v>
      </c>
      <c r="L75" s="10" t="s">
        <v>473</v>
      </c>
      <c r="M75" s="11"/>
      <c r="N75" s="11" t="s">
        <v>72</v>
      </c>
      <c r="O75" s="12"/>
      <c r="P75" s="11"/>
      <c r="Q75" s="11"/>
      <c r="R75" s="11"/>
    </row>
    <row r="76" customFormat="false" ht="35.05" hidden="false" customHeight="false" outlineLevel="0" collapsed="false">
      <c r="A76" s="10" t="s">
        <v>474</v>
      </c>
      <c r="B76" s="10" t="s">
        <v>388</v>
      </c>
      <c r="C76" s="10"/>
      <c r="D76" s="10" t="s">
        <v>475</v>
      </c>
      <c r="E76" s="10" t="s">
        <v>66</v>
      </c>
      <c r="F76" s="10" t="s">
        <v>476</v>
      </c>
      <c r="G76" s="10" t="s">
        <v>68</v>
      </c>
      <c r="H76" s="10"/>
      <c r="I76" s="10" t="s">
        <v>477</v>
      </c>
      <c r="J76" s="10" t="s">
        <v>478</v>
      </c>
      <c r="K76" s="10" t="n">
        <v>2</v>
      </c>
      <c r="L76" s="10" t="s">
        <v>479</v>
      </c>
      <c r="M76" s="11"/>
      <c r="N76" s="11" t="s">
        <v>72</v>
      </c>
      <c r="O76" s="12"/>
      <c r="P76" s="11"/>
      <c r="Q76" s="11"/>
      <c r="R76" s="11"/>
    </row>
    <row r="77" customFormat="false" ht="46.25" hidden="false" customHeight="false" outlineLevel="0" collapsed="false">
      <c r="A77" s="10" t="s">
        <v>480</v>
      </c>
      <c r="B77" s="10" t="s">
        <v>388</v>
      </c>
      <c r="C77" s="10"/>
      <c r="D77" s="10" t="s">
        <v>481</v>
      </c>
      <c r="E77" s="10" t="s">
        <v>249</v>
      </c>
      <c r="F77" s="10" t="s">
        <v>352</v>
      </c>
      <c r="G77" s="10" t="s">
        <v>68</v>
      </c>
      <c r="H77" s="10"/>
      <c r="I77" s="10" t="s">
        <v>482</v>
      </c>
      <c r="J77" s="10" t="s">
        <v>483</v>
      </c>
      <c r="K77" s="10" t="n">
        <v>2</v>
      </c>
      <c r="L77" s="10" t="s">
        <v>484</v>
      </c>
      <c r="M77" s="11"/>
      <c r="N77" s="11" t="s">
        <v>72</v>
      </c>
      <c r="O77" s="12"/>
      <c r="P77" s="11"/>
      <c r="Q77" s="11"/>
      <c r="R77" s="11"/>
    </row>
    <row r="78" customFormat="false" ht="23.85" hidden="false" customHeight="false" outlineLevel="0" collapsed="false">
      <c r="A78" s="10" t="s">
        <v>485</v>
      </c>
      <c r="B78" s="10" t="s">
        <v>388</v>
      </c>
      <c r="C78" s="10"/>
      <c r="D78" s="10" t="s">
        <v>486</v>
      </c>
      <c r="E78" s="10" t="s">
        <v>66</v>
      </c>
      <c r="F78" s="10"/>
      <c r="G78" s="10" t="s">
        <v>68</v>
      </c>
      <c r="H78" s="10"/>
      <c r="I78" s="10" t="s">
        <v>487</v>
      </c>
      <c r="J78" s="10" t="s">
        <v>488</v>
      </c>
      <c r="K78" s="10" t="n">
        <v>2</v>
      </c>
      <c r="L78" s="10" t="s">
        <v>489</v>
      </c>
      <c r="M78" s="11"/>
      <c r="N78" s="11" t="s">
        <v>72</v>
      </c>
      <c r="O78" s="12"/>
      <c r="P78" s="11"/>
      <c r="Q78" s="11"/>
      <c r="R78" s="11"/>
    </row>
    <row r="79" customFormat="false" ht="46.25" hidden="false" customHeight="false" outlineLevel="0" collapsed="false">
      <c r="A79" s="10" t="s">
        <v>490</v>
      </c>
      <c r="B79" s="10" t="s">
        <v>491</v>
      </c>
      <c r="C79" s="10"/>
      <c r="D79" s="10" t="s">
        <v>492</v>
      </c>
      <c r="E79" s="10" t="s">
        <v>66</v>
      </c>
      <c r="F79" s="10" t="s">
        <v>317</v>
      </c>
      <c r="G79" s="10" t="s">
        <v>68</v>
      </c>
      <c r="H79" s="10"/>
      <c r="I79" s="10" t="s">
        <v>493</v>
      </c>
      <c r="J79" s="10" t="s">
        <v>494</v>
      </c>
      <c r="K79" s="10" t="n">
        <v>3</v>
      </c>
      <c r="L79" s="10" t="s">
        <v>495</v>
      </c>
      <c r="M79" s="11"/>
      <c r="N79" s="11" t="s">
        <v>72</v>
      </c>
      <c r="O79" s="12"/>
      <c r="P79" s="11"/>
      <c r="Q79" s="11"/>
      <c r="R79" s="11"/>
    </row>
    <row r="80" customFormat="false" ht="23.85" hidden="false" customHeight="false" outlineLevel="0" collapsed="false">
      <c r="A80" s="10" t="s">
        <v>496</v>
      </c>
      <c r="B80" s="10" t="s">
        <v>491</v>
      </c>
      <c r="C80" s="10"/>
      <c r="D80" s="10" t="s">
        <v>497</v>
      </c>
      <c r="E80" s="10" t="s">
        <v>66</v>
      </c>
      <c r="F80" s="10"/>
      <c r="G80" s="10" t="s">
        <v>68</v>
      </c>
      <c r="H80" s="10"/>
      <c r="I80" s="10" t="s">
        <v>498</v>
      </c>
      <c r="J80" s="10" t="s">
        <v>499</v>
      </c>
      <c r="K80" s="10" t="n">
        <v>1</v>
      </c>
      <c r="L80" s="10" t="s">
        <v>500</v>
      </c>
      <c r="M80" s="11"/>
      <c r="N80" s="11" t="s">
        <v>72</v>
      </c>
      <c r="O80" s="12"/>
      <c r="P80" s="11"/>
      <c r="Q80" s="11"/>
      <c r="R80" s="11"/>
    </row>
    <row r="81" customFormat="false" ht="23.85" hidden="false" customHeight="false" outlineLevel="0" collapsed="false">
      <c r="A81" s="10" t="s">
        <v>501</v>
      </c>
      <c r="B81" s="10" t="s">
        <v>491</v>
      </c>
      <c r="C81" s="10"/>
      <c r="D81" s="10" t="s">
        <v>502</v>
      </c>
      <c r="E81" s="10" t="s">
        <v>66</v>
      </c>
      <c r="F81" s="10"/>
      <c r="G81" s="10" t="s">
        <v>68</v>
      </c>
      <c r="H81" s="10"/>
      <c r="I81" s="10" t="s">
        <v>503</v>
      </c>
      <c r="J81" s="10" t="s">
        <v>504</v>
      </c>
      <c r="K81" s="10" t="n">
        <v>0</v>
      </c>
      <c r="L81" s="10"/>
      <c r="M81" s="11"/>
      <c r="N81" s="11" t="s">
        <v>72</v>
      </c>
      <c r="O81" s="12"/>
      <c r="P81" s="11"/>
      <c r="Q81" s="11"/>
      <c r="R81" s="11"/>
    </row>
    <row r="82" customFormat="false" ht="23.85" hidden="false" customHeight="false" outlineLevel="0" collapsed="false">
      <c r="A82" s="10" t="s">
        <v>505</v>
      </c>
      <c r="B82" s="10" t="s">
        <v>491</v>
      </c>
      <c r="C82" s="10"/>
      <c r="D82" s="10" t="s">
        <v>506</v>
      </c>
      <c r="E82" s="10" t="s">
        <v>66</v>
      </c>
      <c r="F82" s="10"/>
      <c r="G82" s="10" t="s">
        <v>68</v>
      </c>
      <c r="H82" s="10"/>
      <c r="I82" s="10" t="s">
        <v>507</v>
      </c>
      <c r="J82" s="10" t="s">
        <v>508</v>
      </c>
      <c r="K82" s="10" t="n">
        <v>2</v>
      </c>
      <c r="L82" s="10" t="s">
        <v>509</v>
      </c>
      <c r="M82" s="11"/>
      <c r="N82" s="11" t="s">
        <v>72</v>
      </c>
      <c r="O82" s="12"/>
      <c r="P82" s="11"/>
      <c r="Q82" s="11"/>
      <c r="R82" s="11"/>
    </row>
    <row r="83" customFormat="false" ht="23.85" hidden="false" customHeight="false" outlineLevel="0" collapsed="false">
      <c r="A83" s="10" t="s">
        <v>510</v>
      </c>
      <c r="B83" s="10" t="s">
        <v>491</v>
      </c>
      <c r="C83" s="10"/>
      <c r="D83" s="10" t="s">
        <v>511</v>
      </c>
      <c r="E83" s="10" t="s">
        <v>66</v>
      </c>
      <c r="F83" s="10" t="s">
        <v>512</v>
      </c>
      <c r="G83" s="10" t="s">
        <v>68</v>
      </c>
      <c r="H83" s="10"/>
      <c r="I83" s="10" t="s">
        <v>513</v>
      </c>
      <c r="J83" s="10" t="s">
        <v>514</v>
      </c>
      <c r="K83" s="10" t="n">
        <v>1</v>
      </c>
      <c r="L83" s="10" t="s">
        <v>515</v>
      </c>
      <c r="M83" s="11"/>
      <c r="N83" s="11" t="s">
        <v>72</v>
      </c>
      <c r="O83" s="12"/>
      <c r="P83" s="11"/>
      <c r="Q83" s="11"/>
      <c r="R83" s="11"/>
    </row>
    <row r="84" customFormat="false" ht="23.85" hidden="false" customHeight="false" outlineLevel="0" collapsed="false">
      <c r="A84" s="10" t="s">
        <v>516</v>
      </c>
      <c r="B84" s="10" t="s">
        <v>491</v>
      </c>
      <c r="C84" s="10"/>
      <c r="D84" s="10" t="s">
        <v>517</v>
      </c>
      <c r="E84" s="10" t="s">
        <v>66</v>
      </c>
      <c r="F84" s="10" t="s">
        <v>518</v>
      </c>
      <c r="G84" s="10" t="s">
        <v>68</v>
      </c>
      <c r="H84" s="10"/>
      <c r="I84" s="10" t="s">
        <v>519</v>
      </c>
      <c r="J84" s="10" t="s">
        <v>520</v>
      </c>
      <c r="K84" s="10" t="n">
        <v>1</v>
      </c>
      <c r="L84" s="10" t="s">
        <v>521</v>
      </c>
      <c r="M84" s="11"/>
      <c r="N84" s="11" t="s">
        <v>72</v>
      </c>
      <c r="O84" s="12"/>
      <c r="P84" s="11"/>
      <c r="Q84" s="11"/>
      <c r="R84" s="11"/>
    </row>
    <row r="85" customFormat="false" ht="23.85" hidden="false" customHeight="false" outlineLevel="0" collapsed="false">
      <c r="A85" s="10" t="s">
        <v>522</v>
      </c>
      <c r="B85" s="10" t="s">
        <v>491</v>
      </c>
      <c r="C85" s="10"/>
      <c r="D85" s="10" t="s">
        <v>523</v>
      </c>
      <c r="E85" s="10" t="s">
        <v>66</v>
      </c>
      <c r="F85" s="10" t="s">
        <v>524</v>
      </c>
      <c r="G85" s="10" t="s">
        <v>68</v>
      </c>
      <c r="H85" s="10"/>
      <c r="I85" s="10" t="s">
        <v>525</v>
      </c>
      <c r="J85" s="10" t="s">
        <v>526</v>
      </c>
      <c r="K85" s="10" t="n">
        <v>1</v>
      </c>
      <c r="L85" s="10" t="s">
        <v>527</v>
      </c>
      <c r="M85" s="11"/>
      <c r="N85" s="11" t="s">
        <v>72</v>
      </c>
      <c r="O85" s="12"/>
      <c r="P85" s="11"/>
      <c r="Q85" s="11"/>
      <c r="R85" s="11"/>
    </row>
    <row r="86" customFormat="false" ht="46.25" hidden="false" customHeight="false" outlineLevel="0" collapsed="false">
      <c r="A86" s="10" t="s">
        <v>528</v>
      </c>
      <c r="B86" s="10" t="s">
        <v>491</v>
      </c>
      <c r="C86" s="10"/>
      <c r="D86" s="10" t="s">
        <v>529</v>
      </c>
      <c r="E86" s="10" t="s">
        <v>66</v>
      </c>
      <c r="F86" s="10" t="s">
        <v>530</v>
      </c>
      <c r="G86" s="10" t="s">
        <v>68</v>
      </c>
      <c r="H86" s="10"/>
      <c r="I86" s="10" t="s">
        <v>531</v>
      </c>
      <c r="J86" s="10" t="s">
        <v>532</v>
      </c>
      <c r="K86" s="10" t="n">
        <v>2</v>
      </c>
      <c r="L86" s="10" t="s">
        <v>533</v>
      </c>
      <c r="M86" s="11"/>
      <c r="N86" s="11" t="s">
        <v>72</v>
      </c>
      <c r="O86" s="12"/>
      <c r="P86" s="11"/>
      <c r="Q86" s="11"/>
      <c r="R86" s="11"/>
    </row>
    <row r="87" customFormat="false" ht="23.85" hidden="false" customHeight="false" outlineLevel="0" collapsed="false">
      <c r="A87" s="10" t="s">
        <v>534</v>
      </c>
      <c r="B87" s="10" t="s">
        <v>491</v>
      </c>
      <c r="C87" s="10"/>
      <c r="D87" s="10" t="s">
        <v>535</v>
      </c>
      <c r="E87" s="10" t="s">
        <v>106</v>
      </c>
      <c r="F87" s="10" t="s">
        <v>384</v>
      </c>
      <c r="G87" s="10" t="s">
        <v>68</v>
      </c>
      <c r="H87" s="10"/>
      <c r="I87" s="10" t="s">
        <v>536</v>
      </c>
      <c r="J87" s="10" t="s">
        <v>537</v>
      </c>
      <c r="K87" s="10" t="n">
        <v>1</v>
      </c>
      <c r="L87" s="10" t="s">
        <v>538</v>
      </c>
      <c r="M87" s="11"/>
      <c r="N87" s="11" t="s">
        <v>72</v>
      </c>
      <c r="O87" s="12"/>
      <c r="P87" s="11"/>
      <c r="Q87" s="11"/>
      <c r="R87" s="11"/>
    </row>
    <row r="88" customFormat="false" ht="23.85" hidden="false" customHeight="false" outlineLevel="0" collapsed="false">
      <c r="A88" s="10" t="s">
        <v>539</v>
      </c>
      <c r="B88" s="10" t="s">
        <v>491</v>
      </c>
      <c r="C88" s="10"/>
      <c r="D88" s="10" t="s">
        <v>540</v>
      </c>
      <c r="E88" s="10" t="s">
        <v>106</v>
      </c>
      <c r="F88" s="10" t="s">
        <v>136</v>
      </c>
      <c r="G88" s="10" t="s">
        <v>68</v>
      </c>
      <c r="H88" s="10"/>
      <c r="I88" s="10" t="s">
        <v>541</v>
      </c>
      <c r="J88" s="10" t="s">
        <v>542</v>
      </c>
      <c r="K88" s="10" t="n">
        <v>1</v>
      </c>
      <c r="L88" s="10" t="s">
        <v>139</v>
      </c>
      <c r="M88" s="11"/>
      <c r="N88" s="11" t="s">
        <v>72</v>
      </c>
      <c r="O88" s="12"/>
      <c r="P88" s="11"/>
      <c r="Q88" s="11"/>
      <c r="R88" s="11"/>
    </row>
    <row r="89" customFormat="false" ht="57.45" hidden="false" customHeight="false" outlineLevel="0" collapsed="false">
      <c r="A89" s="10" t="s">
        <v>543</v>
      </c>
      <c r="B89" s="10" t="s">
        <v>491</v>
      </c>
      <c r="C89" s="10"/>
      <c r="D89" s="10" t="s">
        <v>544</v>
      </c>
      <c r="E89" s="10" t="s">
        <v>66</v>
      </c>
      <c r="F89" s="10"/>
      <c r="G89" s="10" t="s">
        <v>68</v>
      </c>
      <c r="H89" s="10"/>
      <c r="I89" s="10" t="s">
        <v>545</v>
      </c>
      <c r="J89" s="10" t="s">
        <v>546</v>
      </c>
      <c r="K89" s="10" t="n">
        <v>3</v>
      </c>
      <c r="L89" s="10" t="s">
        <v>547</v>
      </c>
      <c r="M89" s="11"/>
      <c r="N89" s="11" t="s">
        <v>72</v>
      </c>
      <c r="O89" s="12"/>
      <c r="P89" s="11"/>
      <c r="Q89" s="11"/>
      <c r="R89" s="11"/>
    </row>
    <row r="90" customFormat="false" ht="23.85" hidden="false" customHeight="false" outlineLevel="0" collapsed="false">
      <c r="A90" s="10" t="s">
        <v>548</v>
      </c>
      <c r="B90" s="10" t="s">
        <v>491</v>
      </c>
      <c r="C90" s="10"/>
      <c r="D90" s="10" t="s">
        <v>549</v>
      </c>
      <c r="E90" s="10" t="s">
        <v>106</v>
      </c>
      <c r="F90" s="10" t="s">
        <v>550</v>
      </c>
      <c r="G90" s="10" t="s">
        <v>68</v>
      </c>
      <c r="H90" s="10"/>
      <c r="I90" s="10" t="s">
        <v>551</v>
      </c>
      <c r="J90" s="10" t="s">
        <v>552</v>
      </c>
      <c r="K90" s="10" t="n">
        <v>0</v>
      </c>
      <c r="L90" s="10"/>
      <c r="M90" s="11"/>
      <c r="N90" s="11" t="s">
        <v>72</v>
      </c>
      <c r="O90" s="12"/>
      <c r="P90" s="11"/>
      <c r="Q90" s="11"/>
      <c r="R90" s="11"/>
    </row>
    <row r="91" customFormat="false" ht="57.45" hidden="false" customHeight="false" outlineLevel="0" collapsed="false">
      <c r="A91" s="10" t="s">
        <v>553</v>
      </c>
      <c r="B91" s="10" t="s">
        <v>491</v>
      </c>
      <c r="C91" s="10"/>
      <c r="D91" s="10" t="s">
        <v>554</v>
      </c>
      <c r="E91" s="10" t="s">
        <v>66</v>
      </c>
      <c r="F91" s="10" t="s">
        <v>555</v>
      </c>
      <c r="G91" s="10" t="s">
        <v>68</v>
      </c>
      <c r="H91" s="10"/>
      <c r="I91" s="10" t="s">
        <v>556</v>
      </c>
      <c r="J91" s="10" t="s">
        <v>557</v>
      </c>
      <c r="K91" s="10" t="n">
        <v>2</v>
      </c>
      <c r="L91" s="10" t="s">
        <v>558</v>
      </c>
      <c r="M91" s="11"/>
      <c r="N91" s="11" t="s">
        <v>72</v>
      </c>
      <c r="O91" s="12"/>
      <c r="P91" s="11"/>
      <c r="Q91" s="11"/>
      <c r="R91" s="11"/>
    </row>
    <row r="92" customFormat="false" ht="23.85" hidden="false" customHeight="false" outlineLevel="0" collapsed="false">
      <c r="A92" s="10" t="s">
        <v>559</v>
      </c>
      <c r="B92" s="10" t="s">
        <v>491</v>
      </c>
      <c r="C92" s="10"/>
      <c r="D92" s="10" t="s">
        <v>560</v>
      </c>
      <c r="E92" s="10" t="s">
        <v>106</v>
      </c>
      <c r="F92" s="10" t="s">
        <v>136</v>
      </c>
      <c r="G92" s="10" t="s">
        <v>68</v>
      </c>
      <c r="H92" s="10"/>
      <c r="I92" s="10" t="s">
        <v>561</v>
      </c>
      <c r="J92" s="10" t="s">
        <v>562</v>
      </c>
      <c r="K92" s="10" t="n">
        <v>1</v>
      </c>
      <c r="L92" s="10" t="s">
        <v>563</v>
      </c>
      <c r="M92" s="11"/>
      <c r="N92" s="11" t="s">
        <v>72</v>
      </c>
      <c r="O92" s="12"/>
      <c r="P92" s="11"/>
      <c r="Q92" s="11"/>
      <c r="R92" s="11"/>
    </row>
    <row r="93" customFormat="false" ht="23.85" hidden="false" customHeight="false" outlineLevel="0" collapsed="false">
      <c r="A93" s="10" t="s">
        <v>564</v>
      </c>
      <c r="B93" s="10" t="s">
        <v>491</v>
      </c>
      <c r="C93" s="10"/>
      <c r="D93" s="10" t="s">
        <v>565</v>
      </c>
      <c r="E93" s="10" t="s">
        <v>106</v>
      </c>
      <c r="F93" s="10" t="s">
        <v>555</v>
      </c>
      <c r="G93" s="10" t="s">
        <v>68</v>
      </c>
      <c r="H93" s="10"/>
      <c r="I93" s="10" t="s">
        <v>566</v>
      </c>
      <c r="J93" s="10" t="s">
        <v>567</v>
      </c>
      <c r="K93" s="10" t="n">
        <v>1</v>
      </c>
      <c r="L93" s="10" t="s">
        <v>568</v>
      </c>
      <c r="M93" s="11"/>
      <c r="N93" s="11" t="s">
        <v>72</v>
      </c>
      <c r="O93" s="12"/>
      <c r="P93" s="11"/>
      <c r="Q93" s="11"/>
      <c r="R93" s="11"/>
    </row>
    <row r="94" customFormat="false" ht="46.25" hidden="false" customHeight="false" outlineLevel="0" collapsed="false">
      <c r="A94" s="10" t="s">
        <v>569</v>
      </c>
      <c r="B94" s="10" t="s">
        <v>491</v>
      </c>
      <c r="C94" s="10"/>
      <c r="D94" s="10" t="s">
        <v>570</v>
      </c>
      <c r="E94" s="10" t="s">
        <v>106</v>
      </c>
      <c r="F94" s="10" t="s">
        <v>555</v>
      </c>
      <c r="G94" s="10" t="s">
        <v>68</v>
      </c>
      <c r="H94" s="10"/>
      <c r="I94" s="10" t="s">
        <v>571</v>
      </c>
      <c r="J94" s="10" t="s">
        <v>572</v>
      </c>
      <c r="K94" s="10" t="n">
        <v>2</v>
      </c>
      <c r="L94" s="10" t="s">
        <v>573</v>
      </c>
      <c r="M94" s="11"/>
      <c r="N94" s="11" t="s">
        <v>72</v>
      </c>
      <c r="O94" s="12"/>
      <c r="P94" s="11"/>
      <c r="Q94" s="11"/>
      <c r="R94" s="11"/>
    </row>
    <row r="95" customFormat="false" ht="46.25" hidden="false" customHeight="false" outlineLevel="0" collapsed="false">
      <c r="A95" s="10" t="s">
        <v>574</v>
      </c>
      <c r="B95" s="10" t="s">
        <v>491</v>
      </c>
      <c r="C95" s="10"/>
      <c r="D95" s="10" t="s">
        <v>575</v>
      </c>
      <c r="E95" s="10" t="s">
        <v>66</v>
      </c>
      <c r="F95" s="10" t="s">
        <v>217</v>
      </c>
      <c r="G95" s="10" t="s">
        <v>68</v>
      </c>
      <c r="H95" s="10"/>
      <c r="I95" s="10" t="s">
        <v>576</v>
      </c>
      <c r="J95" s="10" t="s">
        <v>577</v>
      </c>
      <c r="K95" s="10" t="n">
        <v>2</v>
      </c>
      <c r="L95" s="10" t="s">
        <v>578</v>
      </c>
      <c r="M95" s="11"/>
      <c r="N95" s="11" t="s">
        <v>72</v>
      </c>
      <c r="O95" s="12"/>
      <c r="P95" s="11"/>
      <c r="Q95" s="11"/>
      <c r="R95" s="11"/>
    </row>
    <row r="96" customFormat="false" ht="46.25" hidden="false" customHeight="false" outlineLevel="0" collapsed="false">
      <c r="A96" s="10" t="s">
        <v>579</v>
      </c>
      <c r="B96" s="10" t="s">
        <v>491</v>
      </c>
      <c r="C96" s="10"/>
      <c r="D96" s="10" t="s">
        <v>580</v>
      </c>
      <c r="E96" s="10" t="s">
        <v>66</v>
      </c>
      <c r="F96" s="10" t="s">
        <v>369</v>
      </c>
      <c r="G96" s="10" t="s">
        <v>68</v>
      </c>
      <c r="H96" s="10"/>
      <c r="I96" s="10" t="s">
        <v>581</v>
      </c>
      <c r="J96" s="10" t="s">
        <v>582</v>
      </c>
      <c r="K96" s="10" t="n">
        <v>2</v>
      </c>
      <c r="L96" s="10" t="s">
        <v>583</v>
      </c>
      <c r="M96" s="11"/>
      <c r="N96" s="11" t="s">
        <v>72</v>
      </c>
      <c r="O96" s="12"/>
      <c r="P96" s="11"/>
      <c r="Q96" s="11"/>
      <c r="R96" s="11"/>
    </row>
  </sheetData>
  <autoFilter ref="A1:R96"/>
  <conditionalFormatting sqref="A2:R96">
    <cfRule type="expression" priority="2" aboveAverage="0" equalAverage="0" bottom="0" percent="0" rank="0" text="" dxfId="4">
      <formula>$N2="Pass"</formula>
    </cfRule>
    <cfRule type="expression" priority="3" aboveAverage="0" equalAverage="0" bottom="0" percent="0" rank="0" text="" dxfId="5">
      <formula>$N2="Fail"</formula>
    </cfRule>
    <cfRule type="expression" priority="4" aboveAverage="0" equalAverage="0" bottom="0" percent="0" rank="0" text="" dxfId="6">
      <formula>$N2="Blocked"</formula>
    </cfRule>
    <cfRule type="expression" priority="5" aboveAverage="0" equalAverage="0" bottom="0" percent="0" rank="0" text="" dxfId="7">
      <formula>$N2="N/A"</formula>
    </cfRule>
  </conditionalFormatting>
  <dataValidations count="2">
    <dataValidation allowBlank="false" error="Choose a status from the list." errorStyle="stop" errorTitle="Status" operator="between" showDropDown="false" showErrorMessage="false" showInputMessage="false" sqref="N2:N96" type="list">
      <formula1>"Not run,Pass,Fail,Blocked,N/A"</formula1>
      <formula2>0</formula2>
    </dataValidation>
    <dataValidation allowBlank="true" errorStyle="stop" operator="greaterThan" showDropDown="false" showErrorMessage="false" showInputMessage="false" sqref="O2:O96" type="date">
      <formula1>DATE(2026,1,1)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60"/>
    <col collapsed="false" customWidth="true" hidden="false" outlineLevel="0" max="6" min="6" style="0" width="26"/>
    <col collapsed="false" customWidth="true" hidden="false" outlineLevel="0" max="7" min="7" style="0" width="80"/>
  </cols>
  <sheetData>
    <row r="1" customFormat="false" ht="30" hidden="false" customHeight="true" outlineLevel="0" collapsed="false">
      <c r="A1" s="9" t="s">
        <v>584</v>
      </c>
      <c r="B1" s="9" t="s">
        <v>585</v>
      </c>
      <c r="C1" s="9" t="s">
        <v>586</v>
      </c>
      <c r="D1" s="9" t="s">
        <v>587</v>
      </c>
      <c r="E1" s="9" t="s">
        <v>588</v>
      </c>
      <c r="F1" s="9" t="s">
        <v>589</v>
      </c>
      <c r="G1" s="9" t="s">
        <v>590</v>
      </c>
    </row>
    <row r="2" customFormat="false" ht="35.05" hidden="false" customHeight="false" outlineLevel="0" collapsed="false">
      <c r="A2" s="10" t="s">
        <v>591</v>
      </c>
      <c r="B2" s="10" t="s">
        <v>592</v>
      </c>
      <c r="C2" s="10" t="s">
        <v>593</v>
      </c>
      <c r="D2" s="10" t="s">
        <v>594</v>
      </c>
      <c r="E2" s="10" t="s">
        <v>595</v>
      </c>
      <c r="F2" s="10" t="s">
        <v>85</v>
      </c>
      <c r="G2" s="10" t="s">
        <v>596</v>
      </c>
    </row>
    <row r="3" customFormat="false" ht="23.85" hidden="false" customHeight="false" outlineLevel="0" collapsed="false">
      <c r="A3" s="10" t="s">
        <v>597</v>
      </c>
      <c r="B3" s="10" t="s">
        <v>592</v>
      </c>
      <c r="C3" s="10" t="s">
        <v>593</v>
      </c>
      <c r="D3" s="10" t="s">
        <v>594</v>
      </c>
      <c r="E3" s="10" t="s">
        <v>598</v>
      </c>
      <c r="F3" s="10" t="s">
        <v>599</v>
      </c>
      <c r="G3" s="10" t="s">
        <v>600</v>
      </c>
    </row>
    <row r="4" customFormat="false" ht="35.05" hidden="false" customHeight="false" outlineLevel="0" collapsed="false">
      <c r="A4" s="10" t="s">
        <v>159</v>
      </c>
      <c r="B4" s="10" t="s">
        <v>592</v>
      </c>
      <c r="C4" s="10" t="s">
        <v>593</v>
      </c>
      <c r="D4" s="10" t="s">
        <v>594</v>
      </c>
      <c r="E4" s="10" t="s">
        <v>601</v>
      </c>
      <c r="F4" s="10" t="s">
        <v>155</v>
      </c>
      <c r="G4" s="10" t="s">
        <v>602</v>
      </c>
    </row>
    <row r="5" customFormat="false" ht="23.85" hidden="false" customHeight="false" outlineLevel="0" collapsed="false">
      <c r="A5" s="10" t="s">
        <v>172</v>
      </c>
      <c r="B5" s="10" t="s">
        <v>592</v>
      </c>
      <c r="C5" s="10" t="s">
        <v>593</v>
      </c>
      <c r="D5" s="10" t="s">
        <v>594</v>
      </c>
      <c r="E5" s="10" t="s">
        <v>603</v>
      </c>
      <c r="F5" s="10" t="s">
        <v>168</v>
      </c>
      <c r="G5" s="10" t="s">
        <v>604</v>
      </c>
    </row>
    <row r="6" customFormat="false" ht="23.85" hidden="false" customHeight="false" outlineLevel="0" collapsed="false">
      <c r="A6" s="10" t="s">
        <v>178</v>
      </c>
      <c r="B6" s="10" t="s">
        <v>592</v>
      </c>
      <c r="C6" s="10" t="s">
        <v>593</v>
      </c>
      <c r="D6" s="10" t="s">
        <v>594</v>
      </c>
      <c r="E6" s="10" t="s">
        <v>174</v>
      </c>
      <c r="F6" s="10" t="s">
        <v>173</v>
      </c>
      <c r="G6" s="10" t="s">
        <v>605</v>
      </c>
    </row>
    <row r="7" customFormat="false" ht="35.05" hidden="false" customHeight="false" outlineLevel="0" collapsed="false">
      <c r="A7" s="10" t="s">
        <v>183</v>
      </c>
      <c r="B7" s="10" t="s">
        <v>592</v>
      </c>
      <c r="C7" s="10" t="s">
        <v>593</v>
      </c>
      <c r="D7" s="10" t="s">
        <v>594</v>
      </c>
      <c r="E7" s="10" t="s">
        <v>180</v>
      </c>
      <c r="F7" s="10" t="s">
        <v>179</v>
      </c>
      <c r="G7" s="10" t="s">
        <v>606</v>
      </c>
    </row>
    <row r="8" customFormat="false" ht="35.05" hidden="false" customHeight="false" outlineLevel="0" collapsed="false">
      <c r="A8" s="10" t="s">
        <v>607</v>
      </c>
      <c r="B8" s="10" t="s">
        <v>592</v>
      </c>
      <c r="C8" s="10" t="s">
        <v>593</v>
      </c>
      <c r="D8" s="10" t="s">
        <v>608</v>
      </c>
      <c r="E8" s="10" t="s">
        <v>609</v>
      </c>
      <c r="F8" s="10" t="s">
        <v>110</v>
      </c>
      <c r="G8" s="10" t="s">
        <v>610</v>
      </c>
    </row>
    <row r="9" customFormat="false" ht="23.85" hidden="false" customHeight="false" outlineLevel="0" collapsed="false">
      <c r="A9" s="10" t="s">
        <v>611</v>
      </c>
      <c r="B9" s="10" t="s">
        <v>592</v>
      </c>
      <c r="C9" s="10" t="s">
        <v>593</v>
      </c>
      <c r="D9" s="10" t="s">
        <v>608</v>
      </c>
      <c r="E9" s="10" t="s">
        <v>116</v>
      </c>
      <c r="F9" s="10" t="s">
        <v>115</v>
      </c>
      <c r="G9" s="10" t="s">
        <v>612</v>
      </c>
    </row>
    <row r="10" customFormat="false" ht="23.85" hidden="false" customHeight="false" outlineLevel="0" collapsed="false">
      <c r="A10" s="10" t="s">
        <v>103</v>
      </c>
      <c r="B10" s="10" t="s">
        <v>592</v>
      </c>
      <c r="C10" s="10" t="s">
        <v>593</v>
      </c>
      <c r="D10" s="10" t="s">
        <v>608</v>
      </c>
      <c r="E10" s="10" t="s">
        <v>613</v>
      </c>
      <c r="F10" s="10" t="s">
        <v>98</v>
      </c>
      <c r="G10" s="10" t="s">
        <v>614</v>
      </c>
    </row>
    <row r="11" customFormat="false" ht="23.85" hidden="false" customHeight="false" outlineLevel="0" collapsed="false">
      <c r="A11" s="10" t="s">
        <v>109</v>
      </c>
      <c r="B11" s="10" t="s">
        <v>592</v>
      </c>
      <c r="C11" s="10" t="s">
        <v>593</v>
      </c>
      <c r="D11" s="10" t="s">
        <v>608</v>
      </c>
      <c r="E11" s="10" t="s">
        <v>615</v>
      </c>
      <c r="F11" s="10" t="s">
        <v>104</v>
      </c>
      <c r="G11" s="10" t="s">
        <v>616</v>
      </c>
    </row>
    <row r="12" customFormat="false" ht="23.85" hidden="false" customHeight="false" outlineLevel="0" collapsed="false">
      <c r="A12" s="10" t="s">
        <v>617</v>
      </c>
      <c r="B12" s="10" t="s">
        <v>592</v>
      </c>
      <c r="C12" s="10" t="s">
        <v>593</v>
      </c>
      <c r="D12" s="10" t="s">
        <v>608</v>
      </c>
      <c r="E12" s="10" t="s">
        <v>618</v>
      </c>
      <c r="F12" s="10"/>
      <c r="G12" s="10" t="s">
        <v>619</v>
      </c>
    </row>
    <row r="13" customFormat="false" ht="35.05" hidden="false" customHeight="false" outlineLevel="0" collapsed="false">
      <c r="A13" s="10" t="s">
        <v>139</v>
      </c>
      <c r="B13" s="10" t="s">
        <v>592</v>
      </c>
      <c r="C13" s="10" t="s">
        <v>593</v>
      </c>
      <c r="D13" s="10" t="s">
        <v>608</v>
      </c>
      <c r="E13" s="10" t="s">
        <v>620</v>
      </c>
      <c r="F13" s="10" t="s">
        <v>621</v>
      </c>
      <c r="G13" s="10" t="s">
        <v>622</v>
      </c>
    </row>
    <row r="14" customFormat="false" ht="23.85" hidden="false" customHeight="false" outlineLevel="0" collapsed="false">
      <c r="A14" s="10" t="s">
        <v>128</v>
      </c>
      <c r="B14" s="10" t="s">
        <v>592</v>
      </c>
      <c r="C14" s="10" t="s">
        <v>593</v>
      </c>
      <c r="D14" s="10" t="s">
        <v>608</v>
      </c>
      <c r="E14" s="10" t="s">
        <v>125</v>
      </c>
      <c r="F14" s="10" t="s">
        <v>124</v>
      </c>
      <c r="G14" s="10" t="s">
        <v>623</v>
      </c>
    </row>
    <row r="15" customFormat="false" ht="35.05" hidden="false" customHeight="false" outlineLevel="0" collapsed="false">
      <c r="A15" s="10" t="s">
        <v>195</v>
      </c>
      <c r="B15" s="10" t="s">
        <v>592</v>
      </c>
      <c r="C15" s="10" t="s">
        <v>593</v>
      </c>
      <c r="D15" s="10" t="s">
        <v>624</v>
      </c>
      <c r="E15" s="10" t="s">
        <v>625</v>
      </c>
      <c r="F15" s="10" t="s">
        <v>626</v>
      </c>
      <c r="G15" s="10" t="s">
        <v>627</v>
      </c>
    </row>
    <row r="16" customFormat="false" ht="35.05" hidden="false" customHeight="false" outlineLevel="0" collapsed="false">
      <c r="A16" s="10" t="s">
        <v>500</v>
      </c>
      <c r="B16" s="10" t="s">
        <v>592</v>
      </c>
      <c r="C16" s="10" t="s">
        <v>593</v>
      </c>
      <c r="D16" s="10" t="s">
        <v>624</v>
      </c>
      <c r="E16" s="10" t="s">
        <v>628</v>
      </c>
      <c r="F16" s="10" t="s">
        <v>496</v>
      </c>
      <c r="G16" s="10" t="s">
        <v>629</v>
      </c>
    </row>
    <row r="17" customFormat="false" ht="35.05" hidden="false" customHeight="false" outlineLevel="0" collapsed="false">
      <c r="A17" s="10" t="s">
        <v>84</v>
      </c>
      <c r="B17" s="10" t="s">
        <v>592</v>
      </c>
      <c r="C17" s="10" t="s">
        <v>593</v>
      </c>
      <c r="D17" s="10" t="s">
        <v>630</v>
      </c>
      <c r="E17" s="10" t="s">
        <v>631</v>
      </c>
      <c r="F17" s="10" t="s">
        <v>78</v>
      </c>
      <c r="G17" s="10" t="s">
        <v>632</v>
      </c>
    </row>
    <row r="18" customFormat="false" ht="35.05" hidden="false" customHeight="false" outlineLevel="0" collapsed="false">
      <c r="A18" s="10" t="s">
        <v>633</v>
      </c>
      <c r="B18" s="10" t="s">
        <v>592</v>
      </c>
      <c r="C18" s="10" t="s">
        <v>593</v>
      </c>
      <c r="D18" s="10" t="s">
        <v>630</v>
      </c>
      <c r="E18" s="10" t="s">
        <v>634</v>
      </c>
      <c r="F18" s="10"/>
      <c r="G18" s="10" t="s">
        <v>635</v>
      </c>
    </row>
    <row r="19" customFormat="false" ht="35.05" hidden="false" customHeight="false" outlineLevel="0" collapsed="false">
      <c r="A19" s="10" t="s">
        <v>636</v>
      </c>
      <c r="B19" s="10" t="s">
        <v>592</v>
      </c>
      <c r="C19" s="10" t="s">
        <v>593</v>
      </c>
      <c r="D19" s="10" t="s">
        <v>630</v>
      </c>
      <c r="E19" s="10" t="s">
        <v>637</v>
      </c>
      <c r="F19" s="10" t="s">
        <v>490</v>
      </c>
      <c r="G19" s="10" t="s">
        <v>638</v>
      </c>
    </row>
    <row r="20" customFormat="false" ht="35.05" hidden="false" customHeight="false" outlineLevel="0" collapsed="false">
      <c r="A20" s="10" t="s">
        <v>639</v>
      </c>
      <c r="B20" s="10" t="s">
        <v>592</v>
      </c>
      <c r="C20" s="10" t="s">
        <v>640</v>
      </c>
      <c r="D20" s="10" t="s">
        <v>641</v>
      </c>
      <c r="E20" s="10" t="s">
        <v>642</v>
      </c>
      <c r="F20" s="10"/>
      <c r="G20" s="10" t="s">
        <v>643</v>
      </c>
    </row>
    <row r="21" customFormat="false" ht="23.85" hidden="false" customHeight="false" outlineLevel="0" collapsed="false">
      <c r="A21" s="10" t="s">
        <v>644</v>
      </c>
      <c r="B21" s="10" t="s">
        <v>592</v>
      </c>
      <c r="C21" s="10" t="s">
        <v>640</v>
      </c>
      <c r="D21" s="10" t="s">
        <v>641</v>
      </c>
      <c r="E21" s="10" t="s">
        <v>645</v>
      </c>
      <c r="F21" s="10"/>
      <c r="G21" s="10" t="s">
        <v>646</v>
      </c>
    </row>
    <row r="22" customFormat="false" ht="35.05" hidden="false" customHeight="false" outlineLevel="0" collapsed="false">
      <c r="A22" s="10" t="s">
        <v>647</v>
      </c>
      <c r="B22" s="10" t="s">
        <v>592</v>
      </c>
      <c r="C22" s="10" t="s">
        <v>640</v>
      </c>
      <c r="D22" s="10" t="s">
        <v>641</v>
      </c>
      <c r="E22" s="10" t="s">
        <v>648</v>
      </c>
      <c r="F22" s="10"/>
      <c r="G22" s="10" t="s">
        <v>649</v>
      </c>
    </row>
    <row r="23" customFormat="false" ht="35.05" hidden="false" customHeight="false" outlineLevel="0" collapsed="false">
      <c r="A23" s="10" t="s">
        <v>650</v>
      </c>
      <c r="B23" s="10" t="s">
        <v>592</v>
      </c>
      <c r="C23" s="10" t="s">
        <v>640</v>
      </c>
      <c r="D23" s="10" t="s">
        <v>641</v>
      </c>
      <c r="E23" s="10" t="s">
        <v>651</v>
      </c>
      <c r="F23" s="10"/>
      <c r="G23" s="10" t="s">
        <v>652</v>
      </c>
    </row>
    <row r="24" customFormat="false" ht="35.05" hidden="false" customHeight="false" outlineLevel="0" collapsed="false">
      <c r="A24" s="10" t="s">
        <v>653</v>
      </c>
      <c r="B24" s="10" t="s">
        <v>592</v>
      </c>
      <c r="C24" s="10" t="s">
        <v>640</v>
      </c>
      <c r="D24" s="10" t="s">
        <v>641</v>
      </c>
      <c r="E24" s="10" t="s">
        <v>654</v>
      </c>
      <c r="F24" s="10"/>
      <c r="G24" s="10" t="s">
        <v>655</v>
      </c>
    </row>
    <row r="25" customFormat="false" ht="35.05" hidden="false" customHeight="false" outlineLevel="0" collapsed="false">
      <c r="A25" s="10" t="s">
        <v>656</v>
      </c>
      <c r="B25" s="10" t="s">
        <v>592</v>
      </c>
      <c r="C25" s="10" t="s">
        <v>640</v>
      </c>
      <c r="D25" s="10" t="s">
        <v>641</v>
      </c>
      <c r="E25" s="10" t="s">
        <v>657</v>
      </c>
      <c r="F25" s="10"/>
      <c r="G25" s="10" t="s">
        <v>658</v>
      </c>
    </row>
    <row r="26" customFormat="false" ht="35.05" hidden="false" customHeight="false" outlineLevel="0" collapsed="false">
      <c r="A26" s="10" t="s">
        <v>659</v>
      </c>
      <c r="B26" s="10" t="s">
        <v>592</v>
      </c>
      <c r="C26" s="10" t="s">
        <v>640</v>
      </c>
      <c r="D26" s="10" t="s">
        <v>641</v>
      </c>
      <c r="E26" s="10" t="s">
        <v>660</v>
      </c>
      <c r="F26" s="10"/>
      <c r="G26" s="10" t="s">
        <v>661</v>
      </c>
    </row>
    <row r="27" customFormat="false" ht="35.05" hidden="false" customHeight="false" outlineLevel="0" collapsed="false">
      <c r="A27" s="10" t="s">
        <v>662</v>
      </c>
      <c r="B27" s="10" t="s">
        <v>592</v>
      </c>
      <c r="C27" s="10" t="s">
        <v>640</v>
      </c>
      <c r="D27" s="10" t="s">
        <v>663</v>
      </c>
      <c r="E27" s="10" t="s">
        <v>664</v>
      </c>
      <c r="F27" s="10"/>
      <c r="G27" s="10" t="s">
        <v>665</v>
      </c>
    </row>
    <row r="28" customFormat="false" ht="35.05" hidden="false" customHeight="false" outlineLevel="0" collapsed="false">
      <c r="A28" s="10" t="s">
        <v>666</v>
      </c>
      <c r="B28" s="10" t="s">
        <v>592</v>
      </c>
      <c r="C28" s="10" t="s">
        <v>640</v>
      </c>
      <c r="D28" s="10" t="s">
        <v>663</v>
      </c>
      <c r="E28" s="10" t="s">
        <v>667</v>
      </c>
      <c r="F28" s="10"/>
      <c r="G28" s="10" t="s">
        <v>668</v>
      </c>
    </row>
    <row r="29" customFormat="false" ht="35.05" hidden="false" customHeight="false" outlineLevel="0" collapsed="false">
      <c r="A29" s="10" t="s">
        <v>669</v>
      </c>
      <c r="B29" s="10" t="s">
        <v>592</v>
      </c>
      <c r="C29" s="10" t="s">
        <v>640</v>
      </c>
      <c r="D29" s="10" t="s">
        <v>663</v>
      </c>
      <c r="E29" s="10" t="s">
        <v>670</v>
      </c>
      <c r="F29" s="10"/>
      <c r="G29" s="10" t="s">
        <v>671</v>
      </c>
    </row>
    <row r="30" customFormat="false" ht="35.05" hidden="false" customHeight="false" outlineLevel="0" collapsed="false">
      <c r="A30" s="10" t="s">
        <v>672</v>
      </c>
      <c r="B30" s="10" t="s">
        <v>592</v>
      </c>
      <c r="C30" s="10" t="s">
        <v>640</v>
      </c>
      <c r="D30" s="10" t="s">
        <v>663</v>
      </c>
      <c r="E30" s="10" t="s">
        <v>673</v>
      </c>
      <c r="F30" s="10"/>
      <c r="G30" s="10" t="s">
        <v>674</v>
      </c>
    </row>
    <row r="31" customFormat="false" ht="35.05" hidden="false" customHeight="false" outlineLevel="0" collapsed="false">
      <c r="A31" s="10" t="s">
        <v>675</v>
      </c>
      <c r="B31" s="10" t="s">
        <v>592</v>
      </c>
      <c r="C31" s="10" t="s">
        <v>640</v>
      </c>
      <c r="D31" s="10" t="s">
        <v>663</v>
      </c>
      <c r="E31" s="10" t="s">
        <v>676</v>
      </c>
      <c r="F31" s="10"/>
      <c r="G31" s="10" t="s">
        <v>677</v>
      </c>
    </row>
    <row r="32" customFormat="false" ht="23.85" hidden="false" customHeight="false" outlineLevel="0" collapsed="false">
      <c r="A32" s="10" t="s">
        <v>678</v>
      </c>
      <c r="B32" s="10" t="s">
        <v>592</v>
      </c>
      <c r="C32" s="10" t="s">
        <v>679</v>
      </c>
      <c r="D32" s="10" t="s">
        <v>680</v>
      </c>
      <c r="E32" s="10" t="s">
        <v>681</v>
      </c>
      <c r="F32" s="10"/>
      <c r="G32" s="10" t="s">
        <v>682</v>
      </c>
    </row>
    <row r="33" customFormat="false" ht="23.85" hidden="false" customHeight="false" outlineLevel="0" collapsed="false">
      <c r="A33" s="10" t="s">
        <v>683</v>
      </c>
      <c r="B33" s="10" t="s">
        <v>592</v>
      </c>
      <c r="C33" s="10" t="s">
        <v>679</v>
      </c>
      <c r="D33" s="10" t="s">
        <v>680</v>
      </c>
      <c r="E33" s="10" t="s">
        <v>684</v>
      </c>
      <c r="F33" s="10"/>
      <c r="G33" s="10" t="s">
        <v>685</v>
      </c>
    </row>
    <row r="34" customFormat="false" ht="35.05" hidden="false" customHeight="false" outlineLevel="0" collapsed="false">
      <c r="A34" s="10" t="s">
        <v>686</v>
      </c>
      <c r="B34" s="10" t="s">
        <v>592</v>
      </c>
      <c r="C34" s="10" t="s">
        <v>679</v>
      </c>
      <c r="D34" s="10" t="s">
        <v>687</v>
      </c>
      <c r="E34" s="10" t="s">
        <v>688</v>
      </c>
      <c r="F34" s="10"/>
      <c r="G34" s="10" t="s">
        <v>689</v>
      </c>
    </row>
    <row r="35" customFormat="false" ht="35.05" hidden="false" customHeight="false" outlineLevel="0" collapsed="false">
      <c r="A35" s="10" t="s">
        <v>690</v>
      </c>
      <c r="B35" s="10" t="s">
        <v>592</v>
      </c>
      <c r="C35" s="10" t="s">
        <v>679</v>
      </c>
      <c r="D35" s="10" t="s">
        <v>687</v>
      </c>
      <c r="E35" s="10" t="s">
        <v>691</v>
      </c>
      <c r="F35" s="10" t="s">
        <v>569</v>
      </c>
      <c r="G35" s="10" t="s">
        <v>692</v>
      </c>
    </row>
    <row r="36" customFormat="false" ht="23.85" hidden="false" customHeight="false" outlineLevel="0" collapsed="false">
      <c r="A36" s="10" t="s">
        <v>693</v>
      </c>
      <c r="B36" s="10" t="s">
        <v>592</v>
      </c>
      <c r="C36" s="10" t="s">
        <v>679</v>
      </c>
      <c r="D36" s="10" t="s">
        <v>687</v>
      </c>
      <c r="E36" s="10" t="s">
        <v>694</v>
      </c>
      <c r="F36" s="10"/>
      <c r="G36" s="10" t="s">
        <v>695</v>
      </c>
    </row>
    <row r="37" customFormat="false" ht="35.05" hidden="false" customHeight="false" outlineLevel="0" collapsed="false">
      <c r="A37" s="10" t="s">
        <v>696</v>
      </c>
      <c r="B37" s="10" t="s">
        <v>592</v>
      </c>
      <c r="C37" s="10" t="s">
        <v>679</v>
      </c>
      <c r="D37" s="10" t="s">
        <v>687</v>
      </c>
      <c r="E37" s="10" t="s">
        <v>697</v>
      </c>
      <c r="F37" s="10"/>
      <c r="G37" s="10" t="s">
        <v>698</v>
      </c>
    </row>
    <row r="38" customFormat="false" ht="35.05" hidden="false" customHeight="false" outlineLevel="0" collapsed="false">
      <c r="A38" s="10" t="s">
        <v>568</v>
      </c>
      <c r="B38" s="10" t="s">
        <v>592</v>
      </c>
      <c r="C38" s="10" t="s">
        <v>593</v>
      </c>
      <c r="D38" s="10" t="s">
        <v>699</v>
      </c>
      <c r="E38" s="10" t="s">
        <v>700</v>
      </c>
      <c r="F38" s="10" t="s">
        <v>564</v>
      </c>
      <c r="G38" s="10" t="s">
        <v>701</v>
      </c>
    </row>
    <row r="39" customFormat="false" ht="23.85" hidden="false" customHeight="false" outlineLevel="0" collapsed="false">
      <c r="A39" s="10" t="s">
        <v>702</v>
      </c>
      <c r="B39" s="10" t="s">
        <v>592</v>
      </c>
      <c r="C39" s="10" t="s">
        <v>593</v>
      </c>
      <c r="D39" s="10" t="s">
        <v>699</v>
      </c>
      <c r="E39" s="10" t="s">
        <v>703</v>
      </c>
      <c r="F39" s="10"/>
      <c r="G39" s="10" t="s">
        <v>704</v>
      </c>
    </row>
    <row r="40" customFormat="false" ht="35.05" hidden="false" customHeight="false" outlineLevel="0" collapsed="false">
      <c r="A40" s="10" t="s">
        <v>705</v>
      </c>
      <c r="B40" s="10" t="s">
        <v>592</v>
      </c>
      <c r="C40" s="10" t="s">
        <v>593</v>
      </c>
      <c r="D40" s="10" t="s">
        <v>699</v>
      </c>
      <c r="E40" s="10" t="s">
        <v>706</v>
      </c>
      <c r="F40" s="10" t="s">
        <v>569</v>
      </c>
      <c r="G40" s="10" t="s">
        <v>707</v>
      </c>
    </row>
    <row r="41" customFormat="false" ht="23.85" hidden="false" customHeight="false" outlineLevel="0" collapsed="false">
      <c r="A41" s="10" t="s">
        <v>708</v>
      </c>
      <c r="B41" s="10" t="s">
        <v>592</v>
      </c>
      <c r="C41" s="10" t="s">
        <v>593</v>
      </c>
      <c r="D41" s="10" t="s">
        <v>699</v>
      </c>
      <c r="E41" s="10" t="s">
        <v>709</v>
      </c>
      <c r="F41" s="10"/>
      <c r="G41" s="10" t="s">
        <v>710</v>
      </c>
    </row>
    <row r="42" customFormat="false" ht="35.05" hidden="false" customHeight="false" outlineLevel="0" collapsed="false">
      <c r="A42" s="10" t="s">
        <v>133</v>
      </c>
      <c r="B42" s="10" t="s">
        <v>592</v>
      </c>
      <c r="C42" s="10" t="s">
        <v>593</v>
      </c>
      <c r="D42" s="10" t="s">
        <v>699</v>
      </c>
      <c r="E42" s="10" t="s">
        <v>711</v>
      </c>
      <c r="F42" s="10" t="s">
        <v>129</v>
      </c>
      <c r="G42" s="10" t="s">
        <v>712</v>
      </c>
    </row>
    <row r="43" customFormat="false" ht="35.05" hidden="false" customHeight="false" outlineLevel="0" collapsed="false">
      <c r="A43" s="10" t="s">
        <v>713</v>
      </c>
      <c r="B43" s="10" t="s">
        <v>592</v>
      </c>
      <c r="C43" s="10" t="s">
        <v>593</v>
      </c>
      <c r="D43" s="10" t="s">
        <v>699</v>
      </c>
      <c r="E43" s="10" t="s">
        <v>714</v>
      </c>
      <c r="F43" s="10"/>
      <c r="G43" s="10" t="s">
        <v>715</v>
      </c>
    </row>
    <row r="44" customFormat="false" ht="35.05" hidden="false" customHeight="false" outlineLevel="0" collapsed="false">
      <c r="A44" s="10" t="s">
        <v>716</v>
      </c>
      <c r="B44" s="10" t="s">
        <v>592</v>
      </c>
      <c r="C44" s="10" t="s">
        <v>593</v>
      </c>
      <c r="D44" s="10" t="s">
        <v>699</v>
      </c>
      <c r="E44" s="10" t="s">
        <v>717</v>
      </c>
      <c r="F44" s="10"/>
      <c r="G44" s="10" t="s">
        <v>718</v>
      </c>
    </row>
    <row r="45" customFormat="false" ht="35.05" hidden="false" customHeight="false" outlineLevel="0" collapsed="false">
      <c r="A45" s="10" t="s">
        <v>719</v>
      </c>
      <c r="B45" s="10" t="s">
        <v>592</v>
      </c>
      <c r="C45" s="10" t="s">
        <v>593</v>
      </c>
      <c r="D45" s="10" t="s">
        <v>699</v>
      </c>
      <c r="E45" s="10" t="s">
        <v>720</v>
      </c>
      <c r="F45" s="10"/>
      <c r="G45" s="10" t="s">
        <v>721</v>
      </c>
    </row>
    <row r="46" customFormat="false" ht="35.05" hidden="false" customHeight="false" outlineLevel="0" collapsed="false">
      <c r="A46" s="10" t="s">
        <v>722</v>
      </c>
      <c r="B46" s="10" t="s">
        <v>592</v>
      </c>
      <c r="C46" s="10" t="s">
        <v>593</v>
      </c>
      <c r="D46" s="10" t="s">
        <v>723</v>
      </c>
      <c r="E46" s="10" t="s">
        <v>724</v>
      </c>
      <c r="F46" s="10" t="s">
        <v>553</v>
      </c>
      <c r="G46" s="10" t="s">
        <v>725</v>
      </c>
    </row>
    <row r="47" customFormat="false" ht="35.05" hidden="false" customHeight="false" outlineLevel="0" collapsed="false">
      <c r="A47" s="10" t="s">
        <v>726</v>
      </c>
      <c r="B47" s="10" t="s">
        <v>592</v>
      </c>
      <c r="C47" s="10" t="s">
        <v>593</v>
      </c>
      <c r="D47" s="10" t="s">
        <v>723</v>
      </c>
      <c r="E47" s="10" t="s">
        <v>727</v>
      </c>
      <c r="F47" s="10"/>
      <c r="G47" s="10" t="s">
        <v>728</v>
      </c>
    </row>
    <row r="48" customFormat="false" ht="35.05" hidden="false" customHeight="false" outlineLevel="0" collapsed="false">
      <c r="A48" s="10" t="s">
        <v>563</v>
      </c>
      <c r="B48" s="10" t="s">
        <v>592</v>
      </c>
      <c r="C48" s="10" t="s">
        <v>593</v>
      </c>
      <c r="D48" s="10" t="s">
        <v>723</v>
      </c>
      <c r="E48" s="10" t="s">
        <v>729</v>
      </c>
      <c r="F48" s="10" t="s">
        <v>559</v>
      </c>
      <c r="G48" s="10" t="s">
        <v>730</v>
      </c>
    </row>
    <row r="49" customFormat="false" ht="35.05" hidden="false" customHeight="false" outlineLevel="0" collapsed="false">
      <c r="A49" s="10" t="s">
        <v>731</v>
      </c>
      <c r="B49" s="10" t="s">
        <v>592</v>
      </c>
      <c r="C49" s="10" t="s">
        <v>593</v>
      </c>
      <c r="D49" s="10" t="s">
        <v>723</v>
      </c>
      <c r="E49" s="10" t="s">
        <v>732</v>
      </c>
      <c r="F49" s="10"/>
      <c r="G49" s="10" t="s">
        <v>733</v>
      </c>
    </row>
    <row r="50" customFormat="false" ht="35.05" hidden="false" customHeight="false" outlineLevel="0" collapsed="false">
      <c r="A50" s="10" t="s">
        <v>734</v>
      </c>
      <c r="B50" s="10" t="s">
        <v>592</v>
      </c>
      <c r="C50" s="10" t="s">
        <v>593</v>
      </c>
      <c r="D50" s="10" t="s">
        <v>723</v>
      </c>
      <c r="E50" s="10" t="s">
        <v>735</v>
      </c>
      <c r="F50" s="10" t="s">
        <v>553</v>
      </c>
      <c r="G50" s="10" t="s">
        <v>736</v>
      </c>
    </row>
    <row r="51" customFormat="false" ht="35.05" hidden="false" customHeight="false" outlineLevel="0" collapsed="false">
      <c r="A51" s="10" t="s">
        <v>737</v>
      </c>
      <c r="B51" s="10" t="s">
        <v>592</v>
      </c>
      <c r="C51" s="10" t="s">
        <v>593</v>
      </c>
      <c r="D51" s="10" t="s">
        <v>723</v>
      </c>
      <c r="E51" s="10" t="s">
        <v>738</v>
      </c>
      <c r="F51" s="10"/>
      <c r="G51" s="10" t="s">
        <v>739</v>
      </c>
    </row>
    <row r="52" customFormat="false" ht="23.85" hidden="false" customHeight="false" outlineLevel="0" collapsed="false">
      <c r="A52" s="10" t="s">
        <v>740</v>
      </c>
      <c r="B52" s="10" t="s">
        <v>592</v>
      </c>
      <c r="C52" s="10" t="s">
        <v>593</v>
      </c>
      <c r="D52" s="10" t="s">
        <v>723</v>
      </c>
      <c r="E52" s="10" t="s">
        <v>741</v>
      </c>
      <c r="F52" s="10"/>
      <c r="G52" s="10" t="s">
        <v>742</v>
      </c>
    </row>
    <row r="53" customFormat="false" ht="23.85" hidden="false" customHeight="false" outlineLevel="0" collapsed="false">
      <c r="A53" s="10" t="s">
        <v>743</v>
      </c>
      <c r="B53" s="10" t="s">
        <v>592</v>
      </c>
      <c r="C53" s="10" t="s">
        <v>640</v>
      </c>
      <c r="D53" s="10" t="s">
        <v>744</v>
      </c>
      <c r="E53" s="10" t="s">
        <v>745</v>
      </c>
      <c r="F53" s="10"/>
      <c r="G53" s="10" t="s">
        <v>746</v>
      </c>
    </row>
    <row r="54" customFormat="false" ht="23.85" hidden="false" customHeight="false" outlineLevel="0" collapsed="false">
      <c r="A54" s="10" t="s">
        <v>747</v>
      </c>
      <c r="B54" s="10" t="s">
        <v>592</v>
      </c>
      <c r="C54" s="10" t="s">
        <v>640</v>
      </c>
      <c r="D54" s="10" t="s">
        <v>744</v>
      </c>
      <c r="E54" s="10" t="s">
        <v>748</v>
      </c>
      <c r="F54" s="10"/>
      <c r="G54" s="10" t="s">
        <v>749</v>
      </c>
    </row>
    <row r="55" customFormat="false" ht="23.85" hidden="false" customHeight="false" outlineLevel="0" collapsed="false">
      <c r="A55" s="10" t="s">
        <v>750</v>
      </c>
      <c r="B55" s="10" t="s">
        <v>592</v>
      </c>
      <c r="C55" s="10" t="s">
        <v>640</v>
      </c>
      <c r="D55" s="10" t="s">
        <v>744</v>
      </c>
      <c r="E55" s="10" t="s">
        <v>751</v>
      </c>
      <c r="F55" s="10"/>
      <c r="G55" s="10" t="s">
        <v>752</v>
      </c>
    </row>
    <row r="56" customFormat="false" ht="35.05" hidden="false" customHeight="false" outlineLevel="0" collapsed="false">
      <c r="A56" s="10" t="s">
        <v>753</v>
      </c>
      <c r="B56" s="10" t="s">
        <v>592</v>
      </c>
      <c r="C56" s="10" t="s">
        <v>640</v>
      </c>
      <c r="D56" s="10" t="s">
        <v>744</v>
      </c>
      <c r="E56" s="10" t="s">
        <v>754</v>
      </c>
      <c r="F56" s="10"/>
      <c r="G56" s="10" t="s">
        <v>755</v>
      </c>
    </row>
    <row r="57" customFormat="false" ht="23.85" hidden="false" customHeight="false" outlineLevel="0" collapsed="false">
      <c r="A57" s="10" t="s">
        <v>756</v>
      </c>
      <c r="B57" s="10" t="s">
        <v>592</v>
      </c>
      <c r="C57" s="10" t="s">
        <v>640</v>
      </c>
      <c r="D57" s="10" t="s">
        <v>744</v>
      </c>
      <c r="E57" s="10" t="s">
        <v>757</v>
      </c>
      <c r="F57" s="10"/>
      <c r="G57" s="10" t="s">
        <v>758</v>
      </c>
    </row>
    <row r="58" customFormat="false" ht="23.85" hidden="false" customHeight="false" outlineLevel="0" collapsed="false">
      <c r="A58" s="10" t="s">
        <v>759</v>
      </c>
      <c r="B58" s="10" t="s">
        <v>592</v>
      </c>
      <c r="C58" s="10" t="s">
        <v>640</v>
      </c>
      <c r="D58" s="10" t="s">
        <v>760</v>
      </c>
      <c r="E58" s="10" t="s">
        <v>761</v>
      </c>
      <c r="F58" s="10" t="s">
        <v>110</v>
      </c>
      <c r="G58" s="10" t="s">
        <v>762</v>
      </c>
    </row>
    <row r="59" customFormat="false" ht="23.85" hidden="false" customHeight="false" outlineLevel="0" collapsed="false">
      <c r="A59" s="10" t="s">
        <v>763</v>
      </c>
      <c r="B59" s="10" t="s">
        <v>592</v>
      </c>
      <c r="C59" s="10" t="s">
        <v>640</v>
      </c>
      <c r="D59" s="10" t="s">
        <v>760</v>
      </c>
      <c r="E59" s="10" t="s">
        <v>764</v>
      </c>
      <c r="F59" s="10" t="s">
        <v>110</v>
      </c>
      <c r="G59" s="10" t="s">
        <v>765</v>
      </c>
    </row>
    <row r="60" customFormat="false" ht="23.85" hidden="false" customHeight="false" outlineLevel="0" collapsed="false">
      <c r="A60" s="10" t="s">
        <v>766</v>
      </c>
      <c r="B60" s="10" t="s">
        <v>592</v>
      </c>
      <c r="C60" s="10" t="s">
        <v>640</v>
      </c>
      <c r="D60" s="10" t="s">
        <v>760</v>
      </c>
      <c r="E60" s="10" t="s">
        <v>116</v>
      </c>
      <c r="F60" s="10"/>
      <c r="G60" s="10" t="s">
        <v>767</v>
      </c>
    </row>
    <row r="61" customFormat="false" ht="15" hidden="false" customHeight="false" outlineLevel="0" collapsed="false">
      <c r="A61" s="10" t="s">
        <v>768</v>
      </c>
      <c r="B61" s="10" t="s">
        <v>592</v>
      </c>
      <c r="C61" s="10" t="s">
        <v>640</v>
      </c>
      <c r="D61" s="10" t="s">
        <v>769</v>
      </c>
      <c r="E61" s="10" t="s">
        <v>770</v>
      </c>
      <c r="F61" s="10" t="s">
        <v>62</v>
      </c>
      <c r="G61" s="10" t="s">
        <v>771</v>
      </c>
    </row>
    <row r="62" customFormat="false" ht="35.05" hidden="false" customHeight="false" outlineLevel="0" collapsed="false">
      <c r="A62" s="10" t="s">
        <v>772</v>
      </c>
      <c r="B62" s="10" t="s">
        <v>592</v>
      </c>
      <c r="C62" s="10" t="s">
        <v>640</v>
      </c>
      <c r="D62" s="10" t="s">
        <v>769</v>
      </c>
      <c r="E62" s="10" t="s">
        <v>773</v>
      </c>
      <c r="F62" s="10" t="s">
        <v>62</v>
      </c>
      <c r="G62" s="10" t="s">
        <v>774</v>
      </c>
    </row>
    <row r="63" customFormat="false" ht="23.85" hidden="false" customHeight="false" outlineLevel="0" collapsed="false">
      <c r="A63" s="10" t="s">
        <v>775</v>
      </c>
      <c r="B63" s="10" t="s">
        <v>592</v>
      </c>
      <c r="C63" s="10" t="s">
        <v>640</v>
      </c>
      <c r="D63" s="10" t="s">
        <v>776</v>
      </c>
      <c r="E63" s="10" t="s">
        <v>777</v>
      </c>
      <c r="F63" s="10"/>
      <c r="G63" s="10" t="s">
        <v>778</v>
      </c>
    </row>
    <row r="64" customFormat="false" ht="35.05" hidden="false" customHeight="false" outlineLevel="0" collapsed="false">
      <c r="A64" s="10" t="s">
        <v>779</v>
      </c>
      <c r="B64" s="10" t="s">
        <v>592</v>
      </c>
      <c r="C64" s="10" t="s">
        <v>640</v>
      </c>
      <c r="D64" s="10" t="s">
        <v>780</v>
      </c>
      <c r="E64" s="10" t="s">
        <v>781</v>
      </c>
      <c r="F64" s="10"/>
      <c r="G64" s="10" t="s">
        <v>782</v>
      </c>
    </row>
    <row r="65" customFormat="false" ht="35.05" hidden="false" customHeight="false" outlineLevel="0" collapsed="false">
      <c r="A65" s="10" t="s">
        <v>190</v>
      </c>
      <c r="B65" s="10" t="s">
        <v>592</v>
      </c>
      <c r="C65" s="10" t="s">
        <v>640</v>
      </c>
      <c r="D65" s="10" t="s">
        <v>780</v>
      </c>
      <c r="E65" s="10" t="s">
        <v>783</v>
      </c>
      <c r="F65" s="10" t="s">
        <v>184</v>
      </c>
      <c r="G65" s="10" t="s">
        <v>784</v>
      </c>
    </row>
    <row r="66" customFormat="false" ht="35.05" hidden="false" customHeight="false" outlineLevel="0" collapsed="false">
      <c r="A66" s="10" t="s">
        <v>785</v>
      </c>
      <c r="B66" s="10" t="s">
        <v>592</v>
      </c>
      <c r="C66" s="10" t="s">
        <v>640</v>
      </c>
      <c r="D66" s="10" t="s">
        <v>780</v>
      </c>
      <c r="E66" s="10" t="s">
        <v>786</v>
      </c>
      <c r="F66" s="10"/>
      <c r="G66" s="10" t="s">
        <v>787</v>
      </c>
    </row>
    <row r="67" customFormat="false" ht="35.05" hidden="false" customHeight="false" outlineLevel="0" collapsed="false">
      <c r="A67" s="10" t="s">
        <v>521</v>
      </c>
      <c r="B67" s="10" t="s">
        <v>592</v>
      </c>
      <c r="C67" s="10" t="s">
        <v>640</v>
      </c>
      <c r="D67" s="10" t="s">
        <v>780</v>
      </c>
      <c r="E67" s="10" t="s">
        <v>788</v>
      </c>
      <c r="F67" s="10" t="s">
        <v>516</v>
      </c>
      <c r="G67" s="10" t="s">
        <v>789</v>
      </c>
    </row>
    <row r="68" customFormat="false" ht="35.05" hidden="false" customHeight="false" outlineLevel="0" collapsed="false">
      <c r="A68" s="10" t="s">
        <v>515</v>
      </c>
      <c r="B68" s="10" t="s">
        <v>592</v>
      </c>
      <c r="C68" s="10" t="s">
        <v>640</v>
      </c>
      <c r="D68" s="10" t="s">
        <v>790</v>
      </c>
      <c r="E68" s="10" t="s">
        <v>791</v>
      </c>
      <c r="F68" s="10" t="s">
        <v>510</v>
      </c>
      <c r="G68" s="10" t="s">
        <v>792</v>
      </c>
    </row>
    <row r="69" customFormat="false" ht="23.85" hidden="false" customHeight="false" outlineLevel="0" collapsed="false">
      <c r="A69" s="10" t="s">
        <v>793</v>
      </c>
      <c r="B69" s="10" t="s">
        <v>592</v>
      </c>
      <c r="C69" s="10" t="s">
        <v>640</v>
      </c>
      <c r="D69" s="10" t="s">
        <v>790</v>
      </c>
      <c r="E69" s="10" t="s">
        <v>794</v>
      </c>
      <c r="F69" s="10"/>
      <c r="G69" s="10" t="s">
        <v>795</v>
      </c>
    </row>
    <row r="70" customFormat="false" ht="23.85" hidden="false" customHeight="false" outlineLevel="0" collapsed="false">
      <c r="A70" s="10" t="s">
        <v>796</v>
      </c>
      <c r="B70" s="10" t="s">
        <v>592</v>
      </c>
      <c r="C70" s="10" t="s">
        <v>640</v>
      </c>
      <c r="D70" s="10" t="s">
        <v>790</v>
      </c>
      <c r="E70" s="10" t="s">
        <v>797</v>
      </c>
      <c r="F70" s="10"/>
      <c r="G70" s="10" t="s">
        <v>798</v>
      </c>
    </row>
    <row r="71" customFormat="false" ht="23.85" hidden="false" customHeight="false" outlineLevel="0" collapsed="false">
      <c r="A71" s="10" t="s">
        <v>799</v>
      </c>
      <c r="B71" s="10" t="s">
        <v>592</v>
      </c>
      <c r="C71" s="10" t="s">
        <v>640</v>
      </c>
      <c r="D71" s="10" t="s">
        <v>800</v>
      </c>
      <c r="E71" s="10" t="s">
        <v>801</v>
      </c>
      <c r="F71" s="10"/>
      <c r="G71" s="10" t="s">
        <v>802</v>
      </c>
    </row>
    <row r="72" customFormat="false" ht="23.85" hidden="false" customHeight="false" outlineLevel="0" collapsed="false">
      <c r="A72" s="10" t="s">
        <v>803</v>
      </c>
      <c r="B72" s="10" t="s">
        <v>592</v>
      </c>
      <c r="C72" s="10" t="s">
        <v>640</v>
      </c>
      <c r="D72" s="10" t="s">
        <v>800</v>
      </c>
      <c r="E72" s="10" t="s">
        <v>804</v>
      </c>
      <c r="F72" s="10"/>
      <c r="G72" s="10" t="s">
        <v>805</v>
      </c>
    </row>
    <row r="73" customFormat="false" ht="23.85" hidden="false" customHeight="false" outlineLevel="0" collapsed="false">
      <c r="A73" s="10" t="s">
        <v>806</v>
      </c>
      <c r="B73" s="10" t="s">
        <v>592</v>
      </c>
      <c r="C73" s="10" t="s">
        <v>640</v>
      </c>
      <c r="D73" s="10" t="s">
        <v>800</v>
      </c>
      <c r="E73" s="10" t="s">
        <v>807</v>
      </c>
      <c r="F73" s="10" t="s">
        <v>231</v>
      </c>
      <c r="G73" s="10" t="s">
        <v>808</v>
      </c>
    </row>
    <row r="74" customFormat="false" ht="35.05" hidden="false" customHeight="false" outlineLevel="0" collapsed="false">
      <c r="A74" s="10" t="s">
        <v>809</v>
      </c>
      <c r="B74" s="10" t="s">
        <v>592</v>
      </c>
      <c r="C74" s="10" t="s">
        <v>640</v>
      </c>
      <c r="D74" s="10" t="s">
        <v>810</v>
      </c>
      <c r="E74" s="10" t="s">
        <v>811</v>
      </c>
      <c r="F74" s="10" t="s">
        <v>543</v>
      </c>
      <c r="G74" s="10" t="s">
        <v>812</v>
      </c>
    </row>
    <row r="75" customFormat="false" ht="35.05" hidden="false" customHeight="false" outlineLevel="0" collapsed="false">
      <c r="A75" s="10" t="s">
        <v>813</v>
      </c>
      <c r="B75" s="10" t="s">
        <v>592</v>
      </c>
      <c r="C75" s="10" t="s">
        <v>640</v>
      </c>
      <c r="D75" s="10" t="s">
        <v>810</v>
      </c>
      <c r="E75" s="10" t="s">
        <v>814</v>
      </c>
      <c r="F75" s="10" t="s">
        <v>543</v>
      </c>
      <c r="G75" s="10" t="s">
        <v>815</v>
      </c>
    </row>
    <row r="76" customFormat="false" ht="35.05" hidden="false" customHeight="false" outlineLevel="0" collapsed="false">
      <c r="A76" s="10" t="s">
        <v>816</v>
      </c>
      <c r="B76" s="10" t="s">
        <v>817</v>
      </c>
      <c r="C76" s="10" t="s">
        <v>818</v>
      </c>
      <c r="D76" s="10" t="s">
        <v>819</v>
      </c>
      <c r="E76" s="10" t="s">
        <v>820</v>
      </c>
      <c r="F76" s="10"/>
      <c r="G76" s="10" t="s">
        <v>821</v>
      </c>
    </row>
    <row r="77" customFormat="false" ht="35.05" hidden="false" customHeight="false" outlineLevel="0" collapsed="false">
      <c r="A77" s="10" t="s">
        <v>822</v>
      </c>
      <c r="B77" s="10" t="s">
        <v>817</v>
      </c>
      <c r="C77" s="10" t="s">
        <v>818</v>
      </c>
      <c r="D77" s="10" t="s">
        <v>819</v>
      </c>
      <c r="E77" s="10" t="s">
        <v>823</v>
      </c>
      <c r="F77" s="10"/>
      <c r="G77" s="10" t="s">
        <v>824</v>
      </c>
    </row>
    <row r="78" customFormat="false" ht="35.05" hidden="false" customHeight="false" outlineLevel="0" collapsed="false">
      <c r="A78" s="10" t="s">
        <v>825</v>
      </c>
      <c r="B78" s="10" t="s">
        <v>817</v>
      </c>
      <c r="C78" s="10" t="s">
        <v>818</v>
      </c>
      <c r="D78" s="10" t="s">
        <v>819</v>
      </c>
      <c r="E78" s="10" t="s">
        <v>826</v>
      </c>
      <c r="F78" s="10"/>
      <c r="G78" s="10" t="s">
        <v>827</v>
      </c>
    </row>
    <row r="79" customFormat="false" ht="35.05" hidden="false" customHeight="false" outlineLevel="0" collapsed="false">
      <c r="A79" s="10" t="s">
        <v>828</v>
      </c>
      <c r="B79" s="10" t="s">
        <v>817</v>
      </c>
      <c r="C79" s="10" t="s">
        <v>818</v>
      </c>
      <c r="D79" s="10" t="s">
        <v>819</v>
      </c>
      <c r="E79" s="10" t="s">
        <v>829</v>
      </c>
      <c r="F79" s="10"/>
      <c r="G79" s="10" t="s">
        <v>830</v>
      </c>
    </row>
    <row r="80" customFormat="false" ht="23.85" hidden="false" customHeight="false" outlineLevel="0" collapsed="false">
      <c r="A80" s="10" t="s">
        <v>831</v>
      </c>
      <c r="B80" s="10" t="s">
        <v>817</v>
      </c>
      <c r="C80" s="10" t="s">
        <v>818</v>
      </c>
      <c r="D80" s="10" t="s">
        <v>819</v>
      </c>
      <c r="E80" s="10" t="s">
        <v>832</v>
      </c>
      <c r="F80" s="10"/>
      <c r="G80" s="10" t="s">
        <v>833</v>
      </c>
    </row>
    <row r="81" customFormat="false" ht="35.05" hidden="false" customHeight="false" outlineLevel="0" collapsed="false">
      <c r="A81" s="10" t="s">
        <v>834</v>
      </c>
      <c r="B81" s="10" t="s">
        <v>817</v>
      </c>
      <c r="C81" s="10" t="s">
        <v>818</v>
      </c>
      <c r="D81" s="10" t="s">
        <v>835</v>
      </c>
      <c r="E81" s="10" t="s">
        <v>836</v>
      </c>
      <c r="F81" s="10" t="s">
        <v>270</v>
      </c>
      <c r="G81" s="10" t="s">
        <v>837</v>
      </c>
    </row>
    <row r="82" customFormat="false" ht="35.05" hidden="false" customHeight="false" outlineLevel="0" collapsed="false">
      <c r="A82" s="10" t="s">
        <v>838</v>
      </c>
      <c r="B82" s="10" t="s">
        <v>817</v>
      </c>
      <c r="C82" s="10" t="s">
        <v>818</v>
      </c>
      <c r="D82" s="10" t="s">
        <v>835</v>
      </c>
      <c r="E82" s="10" t="s">
        <v>839</v>
      </c>
      <c r="F82" s="10"/>
      <c r="G82" s="10" t="s">
        <v>840</v>
      </c>
    </row>
    <row r="83" customFormat="false" ht="35.05" hidden="false" customHeight="false" outlineLevel="0" collapsed="false">
      <c r="A83" s="10" t="s">
        <v>841</v>
      </c>
      <c r="B83" s="10" t="s">
        <v>817</v>
      </c>
      <c r="C83" s="10" t="s">
        <v>818</v>
      </c>
      <c r="D83" s="10" t="s">
        <v>835</v>
      </c>
      <c r="E83" s="10" t="s">
        <v>842</v>
      </c>
      <c r="F83" s="10"/>
      <c r="G83" s="10" t="s">
        <v>843</v>
      </c>
    </row>
    <row r="84" customFormat="false" ht="35.05" hidden="false" customHeight="false" outlineLevel="0" collapsed="false">
      <c r="A84" s="10" t="s">
        <v>844</v>
      </c>
      <c r="B84" s="10" t="s">
        <v>817</v>
      </c>
      <c r="C84" s="10" t="s">
        <v>818</v>
      </c>
      <c r="D84" s="10" t="s">
        <v>835</v>
      </c>
      <c r="E84" s="10" t="s">
        <v>845</v>
      </c>
      <c r="F84" s="10"/>
      <c r="G84" s="10" t="s">
        <v>846</v>
      </c>
    </row>
    <row r="85" customFormat="false" ht="35.05" hidden="false" customHeight="false" outlineLevel="0" collapsed="false">
      <c r="A85" s="10" t="s">
        <v>847</v>
      </c>
      <c r="B85" s="10" t="s">
        <v>817</v>
      </c>
      <c r="C85" s="10" t="s">
        <v>818</v>
      </c>
      <c r="D85" s="10" t="s">
        <v>835</v>
      </c>
      <c r="E85" s="10" t="s">
        <v>848</v>
      </c>
      <c r="F85" s="10"/>
      <c r="G85" s="10" t="s">
        <v>849</v>
      </c>
    </row>
    <row r="86" customFormat="false" ht="35.05" hidden="false" customHeight="false" outlineLevel="0" collapsed="false">
      <c r="A86" s="10" t="s">
        <v>850</v>
      </c>
      <c r="B86" s="10" t="s">
        <v>817</v>
      </c>
      <c r="C86" s="10" t="s">
        <v>818</v>
      </c>
      <c r="D86" s="10" t="s">
        <v>835</v>
      </c>
      <c r="E86" s="10" t="s">
        <v>851</v>
      </c>
      <c r="F86" s="10"/>
      <c r="G86" s="10" t="s">
        <v>852</v>
      </c>
    </row>
    <row r="87" customFormat="false" ht="35.05" hidden="false" customHeight="false" outlineLevel="0" collapsed="false">
      <c r="A87" s="10" t="s">
        <v>853</v>
      </c>
      <c r="B87" s="10" t="s">
        <v>817</v>
      </c>
      <c r="C87" s="10" t="s">
        <v>818</v>
      </c>
      <c r="D87" s="10" t="s">
        <v>835</v>
      </c>
      <c r="E87" s="10" t="s">
        <v>854</v>
      </c>
      <c r="F87" s="10"/>
      <c r="G87" s="10" t="s">
        <v>855</v>
      </c>
    </row>
    <row r="88" customFormat="false" ht="35.05" hidden="false" customHeight="false" outlineLevel="0" collapsed="false">
      <c r="A88" s="10" t="s">
        <v>856</v>
      </c>
      <c r="B88" s="10" t="s">
        <v>817</v>
      </c>
      <c r="C88" s="10" t="s">
        <v>818</v>
      </c>
      <c r="D88" s="10" t="s">
        <v>835</v>
      </c>
      <c r="E88" s="10" t="s">
        <v>857</v>
      </c>
      <c r="F88" s="10"/>
      <c r="G88" s="10" t="s">
        <v>858</v>
      </c>
    </row>
    <row r="89" customFormat="false" ht="23.85" hidden="false" customHeight="false" outlineLevel="0" collapsed="false">
      <c r="A89" s="10" t="s">
        <v>258</v>
      </c>
      <c r="B89" s="10" t="s">
        <v>817</v>
      </c>
      <c r="C89" s="10" t="s">
        <v>640</v>
      </c>
      <c r="D89" s="10" t="s">
        <v>859</v>
      </c>
      <c r="E89" s="10" t="s">
        <v>254</v>
      </c>
      <c r="F89" s="10" t="s">
        <v>252</v>
      </c>
      <c r="G89" s="10" t="s">
        <v>860</v>
      </c>
    </row>
    <row r="90" customFormat="false" ht="23.85" hidden="false" customHeight="false" outlineLevel="0" collapsed="false">
      <c r="A90" s="10" t="s">
        <v>861</v>
      </c>
      <c r="B90" s="10" t="s">
        <v>817</v>
      </c>
      <c r="C90" s="10" t="s">
        <v>640</v>
      </c>
      <c r="D90" s="10" t="s">
        <v>859</v>
      </c>
      <c r="E90" s="10" t="s">
        <v>862</v>
      </c>
      <c r="F90" s="10" t="s">
        <v>259</v>
      </c>
      <c r="G90" s="10" t="s">
        <v>863</v>
      </c>
    </row>
    <row r="91" customFormat="false" ht="35.05" hidden="false" customHeight="false" outlineLevel="0" collapsed="false">
      <c r="A91" s="10" t="s">
        <v>864</v>
      </c>
      <c r="B91" s="10" t="s">
        <v>817</v>
      </c>
      <c r="C91" s="10" t="s">
        <v>640</v>
      </c>
      <c r="D91" s="10" t="s">
        <v>859</v>
      </c>
      <c r="E91" s="10" t="s">
        <v>865</v>
      </c>
      <c r="F91" s="10" t="s">
        <v>265</v>
      </c>
      <c r="G91" s="10" t="s">
        <v>866</v>
      </c>
    </row>
    <row r="92" customFormat="false" ht="23.85" hidden="false" customHeight="false" outlineLevel="0" collapsed="false">
      <c r="A92" s="10" t="s">
        <v>867</v>
      </c>
      <c r="B92" s="10" t="s">
        <v>817</v>
      </c>
      <c r="C92" s="10" t="s">
        <v>640</v>
      </c>
      <c r="D92" s="10" t="s">
        <v>859</v>
      </c>
      <c r="E92" s="10" t="s">
        <v>868</v>
      </c>
      <c r="F92" s="10" t="s">
        <v>265</v>
      </c>
      <c r="G92" s="10" t="s">
        <v>869</v>
      </c>
    </row>
    <row r="93" customFormat="false" ht="23.85" hidden="false" customHeight="false" outlineLevel="0" collapsed="false">
      <c r="A93" s="10" t="s">
        <v>870</v>
      </c>
      <c r="B93" s="10" t="s">
        <v>817</v>
      </c>
      <c r="C93" s="10" t="s">
        <v>640</v>
      </c>
      <c r="D93" s="10" t="s">
        <v>859</v>
      </c>
      <c r="E93" s="10" t="s">
        <v>271</v>
      </c>
      <c r="F93" s="10" t="s">
        <v>270</v>
      </c>
      <c r="G93" s="10" t="s">
        <v>871</v>
      </c>
    </row>
    <row r="94" customFormat="false" ht="23.85" hidden="false" customHeight="false" outlineLevel="0" collapsed="false">
      <c r="A94" s="10" t="s">
        <v>872</v>
      </c>
      <c r="B94" s="10" t="s">
        <v>817</v>
      </c>
      <c r="C94" s="10" t="s">
        <v>640</v>
      </c>
      <c r="D94" s="10" t="s">
        <v>859</v>
      </c>
      <c r="E94" s="10" t="s">
        <v>873</v>
      </c>
      <c r="F94" s="10" t="s">
        <v>275</v>
      </c>
      <c r="G94" s="10" t="s">
        <v>874</v>
      </c>
    </row>
    <row r="95" customFormat="false" ht="23.85" hidden="false" customHeight="false" outlineLevel="0" collapsed="false">
      <c r="A95" s="10" t="s">
        <v>875</v>
      </c>
      <c r="B95" s="10" t="s">
        <v>817</v>
      </c>
      <c r="C95" s="10" t="s">
        <v>640</v>
      </c>
      <c r="D95" s="10" t="s">
        <v>859</v>
      </c>
      <c r="E95" s="10" t="s">
        <v>876</v>
      </c>
      <c r="F95" s="10" t="s">
        <v>280</v>
      </c>
      <c r="G95" s="10" t="s">
        <v>877</v>
      </c>
    </row>
    <row r="96" customFormat="false" ht="23.85" hidden="false" customHeight="false" outlineLevel="0" collapsed="false">
      <c r="A96" s="10" t="s">
        <v>289</v>
      </c>
      <c r="B96" s="10" t="s">
        <v>817</v>
      </c>
      <c r="C96" s="10" t="s">
        <v>640</v>
      </c>
      <c r="D96" s="10" t="s">
        <v>859</v>
      </c>
      <c r="E96" s="10" t="s">
        <v>878</v>
      </c>
      <c r="F96" s="10" t="s">
        <v>285</v>
      </c>
      <c r="G96" s="10" t="s">
        <v>879</v>
      </c>
    </row>
    <row r="97" customFormat="false" ht="23.85" hidden="false" customHeight="false" outlineLevel="0" collapsed="false">
      <c r="A97" s="10" t="s">
        <v>880</v>
      </c>
      <c r="B97" s="10" t="s">
        <v>817</v>
      </c>
      <c r="C97" s="10" t="s">
        <v>640</v>
      </c>
      <c r="D97" s="10" t="s">
        <v>859</v>
      </c>
      <c r="E97" s="10" t="s">
        <v>881</v>
      </c>
      <c r="F97" s="10" t="s">
        <v>290</v>
      </c>
      <c r="G97" s="10" t="s">
        <v>882</v>
      </c>
    </row>
    <row r="98" customFormat="false" ht="35.05" hidden="false" customHeight="false" outlineLevel="0" collapsed="false">
      <c r="A98" s="10" t="s">
        <v>301</v>
      </c>
      <c r="B98" s="10" t="s">
        <v>817</v>
      </c>
      <c r="C98" s="10" t="s">
        <v>640</v>
      </c>
      <c r="D98" s="10" t="s">
        <v>859</v>
      </c>
      <c r="E98" s="10" t="s">
        <v>883</v>
      </c>
      <c r="F98" s="10" t="s">
        <v>296</v>
      </c>
      <c r="G98" s="10" t="s">
        <v>884</v>
      </c>
    </row>
    <row r="99" customFormat="false" ht="23.85" hidden="false" customHeight="false" outlineLevel="0" collapsed="false">
      <c r="A99" s="10" t="s">
        <v>885</v>
      </c>
      <c r="B99" s="10" t="s">
        <v>817</v>
      </c>
      <c r="C99" s="10" t="s">
        <v>640</v>
      </c>
      <c r="D99" s="10" t="s">
        <v>859</v>
      </c>
      <c r="E99" s="10" t="s">
        <v>886</v>
      </c>
      <c r="F99" s="10"/>
      <c r="G99" s="10" t="s">
        <v>887</v>
      </c>
    </row>
    <row r="100" customFormat="false" ht="35.05" hidden="false" customHeight="false" outlineLevel="0" collapsed="false">
      <c r="A100" s="10" t="s">
        <v>888</v>
      </c>
      <c r="B100" s="10" t="s">
        <v>817</v>
      </c>
      <c r="C100" s="10" t="s">
        <v>640</v>
      </c>
      <c r="D100" s="10" t="s">
        <v>889</v>
      </c>
      <c r="E100" s="10" t="s">
        <v>890</v>
      </c>
      <c r="F100" s="10" t="s">
        <v>215</v>
      </c>
      <c r="G100" s="10" t="s">
        <v>891</v>
      </c>
    </row>
    <row r="101" customFormat="false" ht="35.05" hidden="false" customHeight="false" outlineLevel="0" collapsed="false">
      <c r="A101" s="10" t="s">
        <v>225</v>
      </c>
      <c r="B101" s="10" t="s">
        <v>817</v>
      </c>
      <c r="C101" s="10" t="s">
        <v>640</v>
      </c>
      <c r="D101" s="10" t="s">
        <v>889</v>
      </c>
      <c r="E101" s="10" t="s">
        <v>892</v>
      </c>
      <c r="F101" s="10" t="s">
        <v>221</v>
      </c>
      <c r="G101" s="10" t="s">
        <v>893</v>
      </c>
    </row>
    <row r="102" customFormat="false" ht="35.05" hidden="false" customHeight="false" outlineLevel="0" collapsed="false">
      <c r="A102" s="10" t="s">
        <v>538</v>
      </c>
      <c r="B102" s="10" t="s">
        <v>817</v>
      </c>
      <c r="C102" s="10" t="s">
        <v>640</v>
      </c>
      <c r="D102" s="10" t="s">
        <v>889</v>
      </c>
      <c r="E102" s="10" t="s">
        <v>894</v>
      </c>
      <c r="F102" s="10" t="s">
        <v>534</v>
      </c>
      <c r="G102" s="10" t="s">
        <v>895</v>
      </c>
    </row>
    <row r="103" customFormat="false" ht="35.05" hidden="false" customHeight="false" outlineLevel="0" collapsed="false">
      <c r="A103" s="10" t="s">
        <v>896</v>
      </c>
      <c r="B103" s="10" t="s">
        <v>817</v>
      </c>
      <c r="C103" s="10" t="s">
        <v>640</v>
      </c>
      <c r="D103" s="10" t="s">
        <v>889</v>
      </c>
      <c r="E103" s="10" t="s">
        <v>897</v>
      </c>
      <c r="F103" s="10" t="s">
        <v>528</v>
      </c>
      <c r="G103" s="10" t="s">
        <v>898</v>
      </c>
    </row>
    <row r="104" customFormat="false" ht="35.05" hidden="false" customHeight="false" outlineLevel="0" collapsed="false">
      <c r="A104" s="10" t="s">
        <v>899</v>
      </c>
      <c r="B104" s="10" t="s">
        <v>900</v>
      </c>
      <c r="C104" s="10" t="s">
        <v>640</v>
      </c>
      <c r="D104" s="10" t="s">
        <v>901</v>
      </c>
      <c r="E104" s="10" t="s">
        <v>902</v>
      </c>
      <c r="F104" s="10" t="s">
        <v>574</v>
      </c>
      <c r="G104" s="10" t="s">
        <v>903</v>
      </c>
    </row>
    <row r="105" customFormat="false" ht="35.05" hidden="false" customHeight="false" outlineLevel="0" collapsed="false">
      <c r="A105" s="10" t="s">
        <v>904</v>
      </c>
      <c r="B105" s="10" t="s">
        <v>900</v>
      </c>
      <c r="C105" s="10" t="s">
        <v>640</v>
      </c>
      <c r="D105" s="10" t="s">
        <v>901</v>
      </c>
      <c r="E105" s="10" t="s">
        <v>905</v>
      </c>
      <c r="F105" s="10"/>
      <c r="G105" s="10" t="s">
        <v>906</v>
      </c>
    </row>
    <row r="106" customFormat="false" ht="35.05" hidden="false" customHeight="false" outlineLevel="0" collapsed="false">
      <c r="A106" s="10" t="s">
        <v>907</v>
      </c>
      <c r="B106" s="10" t="s">
        <v>900</v>
      </c>
      <c r="C106" s="10" t="s">
        <v>640</v>
      </c>
      <c r="D106" s="10" t="s">
        <v>901</v>
      </c>
      <c r="E106" s="10" t="s">
        <v>908</v>
      </c>
      <c r="F106" s="10" t="s">
        <v>237</v>
      </c>
      <c r="G106" s="10" t="s">
        <v>909</v>
      </c>
    </row>
    <row r="107" customFormat="false" ht="35.05" hidden="false" customHeight="false" outlineLevel="0" collapsed="false">
      <c r="A107" s="10" t="s">
        <v>910</v>
      </c>
      <c r="B107" s="10" t="s">
        <v>900</v>
      </c>
      <c r="C107" s="10" t="s">
        <v>640</v>
      </c>
      <c r="D107" s="10" t="s">
        <v>901</v>
      </c>
      <c r="E107" s="10" t="s">
        <v>911</v>
      </c>
      <c r="F107" s="10"/>
      <c r="G107" s="10" t="s">
        <v>912</v>
      </c>
    </row>
    <row r="108" customFormat="false" ht="35.05" hidden="false" customHeight="false" outlineLevel="0" collapsed="false">
      <c r="A108" s="10" t="s">
        <v>913</v>
      </c>
      <c r="B108" s="10" t="s">
        <v>900</v>
      </c>
      <c r="C108" s="10" t="s">
        <v>640</v>
      </c>
      <c r="D108" s="10" t="s">
        <v>901</v>
      </c>
      <c r="E108" s="10" t="s">
        <v>914</v>
      </c>
      <c r="F108" s="10"/>
      <c r="G108" s="10" t="s">
        <v>915</v>
      </c>
    </row>
    <row r="109" customFormat="false" ht="23.85" hidden="false" customHeight="false" outlineLevel="0" collapsed="false">
      <c r="A109" s="10" t="s">
        <v>916</v>
      </c>
      <c r="B109" s="10" t="s">
        <v>900</v>
      </c>
      <c r="C109" s="10" t="s">
        <v>640</v>
      </c>
      <c r="D109" s="10" t="s">
        <v>901</v>
      </c>
      <c r="E109" s="10" t="s">
        <v>917</v>
      </c>
      <c r="F109" s="10"/>
      <c r="G109" s="10" t="s">
        <v>918</v>
      </c>
    </row>
    <row r="110" customFormat="false" ht="35.05" hidden="false" customHeight="false" outlineLevel="0" collapsed="false">
      <c r="A110" s="10" t="s">
        <v>919</v>
      </c>
      <c r="B110" s="10" t="s">
        <v>900</v>
      </c>
      <c r="C110" s="10" t="s">
        <v>640</v>
      </c>
      <c r="D110" s="10" t="s">
        <v>901</v>
      </c>
      <c r="E110" s="10" t="s">
        <v>920</v>
      </c>
      <c r="F110" s="10"/>
      <c r="G110" s="10" t="s">
        <v>921</v>
      </c>
    </row>
    <row r="111" customFormat="false" ht="23.85" hidden="false" customHeight="false" outlineLevel="0" collapsed="false">
      <c r="A111" s="10" t="s">
        <v>922</v>
      </c>
      <c r="B111" s="10" t="s">
        <v>900</v>
      </c>
      <c r="C111" s="10" t="s">
        <v>640</v>
      </c>
      <c r="D111" s="10" t="s">
        <v>901</v>
      </c>
      <c r="E111" s="10" t="s">
        <v>923</v>
      </c>
      <c r="F111" s="10"/>
      <c r="G111" s="10" t="s">
        <v>924</v>
      </c>
    </row>
    <row r="112" customFormat="false" ht="23.85" hidden="false" customHeight="false" outlineLevel="0" collapsed="false">
      <c r="A112" s="10" t="s">
        <v>925</v>
      </c>
      <c r="B112" s="10" t="s">
        <v>900</v>
      </c>
      <c r="C112" s="10" t="s">
        <v>640</v>
      </c>
      <c r="D112" s="10" t="s">
        <v>901</v>
      </c>
      <c r="E112" s="10" t="s">
        <v>926</v>
      </c>
      <c r="F112" s="10"/>
      <c r="G112" s="10" t="s">
        <v>927</v>
      </c>
    </row>
    <row r="113" customFormat="false" ht="35.05" hidden="false" customHeight="false" outlineLevel="0" collapsed="false">
      <c r="A113" s="10" t="s">
        <v>928</v>
      </c>
      <c r="B113" s="10" t="s">
        <v>900</v>
      </c>
      <c r="C113" s="10" t="s">
        <v>640</v>
      </c>
      <c r="D113" s="10" t="s">
        <v>901</v>
      </c>
      <c r="E113" s="10" t="s">
        <v>929</v>
      </c>
      <c r="F113" s="10"/>
      <c r="G113" s="10" t="s">
        <v>930</v>
      </c>
    </row>
    <row r="114" customFormat="false" ht="35.05" hidden="false" customHeight="false" outlineLevel="0" collapsed="false">
      <c r="A114" s="10" t="s">
        <v>931</v>
      </c>
      <c r="B114" s="10" t="s">
        <v>900</v>
      </c>
      <c r="C114" s="10" t="s">
        <v>640</v>
      </c>
      <c r="D114" s="10" t="s">
        <v>901</v>
      </c>
      <c r="E114" s="10" t="s">
        <v>932</v>
      </c>
      <c r="F114" s="10"/>
      <c r="G114" s="10" t="s">
        <v>933</v>
      </c>
    </row>
    <row r="115" customFormat="false" ht="35.05" hidden="false" customHeight="false" outlineLevel="0" collapsed="false">
      <c r="A115" s="10" t="s">
        <v>934</v>
      </c>
      <c r="B115" s="10" t="s">
        <v>900</v>
      </c>
      <c r="C115" s="10" t="s">
        <v>640</v>
      </c>
      <c r="D115" s="10" t="s">
        <v>935</v>
      </c>
      <c r="E115" s="10" t="s">
        <v>936</v>
      </c>
      <c r="F115" s="10" t="s">
        <v>937</v>
      </c>
      <c r="G115" s="10" t="s">
        <v>938</v>
      </c>
    </row>
    <row r="116" customFormat="false" ht="35.05" hidden="false" customHeight="false" outlineLevel="0" collapsed="false">
      <c r="A116" s="10" t="s">
        <v>939</v>
      </c>
      <c r="B116" s="10" t="s">
        <v>900</v>
      </c>
      <c r="C116" s="10" t="s">
        <v>640</v>
      </c>
      <c r="D116" s="10" t="s">
        <v>935</v>
      </c>
      <c r="E116" s="10" t="s">
        <v>940</v>
      </c>
      <c r="F116" s="10" t="s">
        <v>215</v>
      </c>
      <c r="G116" s="10" t="s">
        <v>941</v>
      </c>
    </row>
    <row r="117" customFormat="false" ht="23.85" hidden="false" customHeight="false" outlineLevel="0" collapsed="false">
      <c r="A117" s="10" t="s">
        <v>230</v>
      </c>
      <c r="B117" s="10" t="s">
        <v>900</v>
      </c>
      <c r="C117" s="10" t="s">
        <v>640</v>
      </c>
      <c r="D117" s="10" t="s">
        <v>935</v>
      </c>
      <c r="E117" s="10" t="s">
        <v>942</v>
      </c>
      <c r="F117" s="10" t="s">
        <v>226</v>
      </c>
      <c r="G117" s="10" t="s">
        <v>943</v>
      </c>
    </row>
    <row r="118" customFormat="false" ht="35.05" hidden="false" customHeight="false" outlineLevel="0" collapsed="false">
      <c r="A118" s="10" t="s">
        <v>944</v>
      </c>
      <c r="B118" s="10" t="s">
        <v>900</v>
      </c>
      <c r="C118" s="10" t="s">
        <v>640</v>
      </c>
      <c r="D118" s="10" t="s">
        <v>935</v>
      </c>
      <c r="E118" s="10" t="s">
        <v>945</v>
      </c>
      <c r="F118" s="10" t="s">
        <v>242</v>
      </c>
      <c r="G118" s="10" t="s">
        <v>946</v>
      </c>
    </row>
    <row r="119" customFormat="false" ht="35.05" hidden="false" customHeight="false" outlineLevel="0" collapsed="false">
      <c r="A119" s="10" t="s">
        <v>947</v>
      </c>
      <c r="B119" s="10" t="s">
        <v>900</v>
      </c>
      <c r="C119" s="10" t="s">
        <v>640</v>
      </c>
      <c r="D119" s="10" t="s">
        <v>935</v>
      </c>
      <c r="E119" s="10" t="s">
        <v>948</v>
      </c>
      <c r="F119" s="10" t="s">
        <v>949</v>
      </c>
      <c r="G119" s="10" t="s">
        <v>950</v>
      </c>
    </row>
    <row r="120" customFormat="false" ht="23.85" hidden="false" customHeight="false" outlineLevel="0" collapsed="false">
      <c r="A120" s="10" t="s">
        <v>951</v>
      </c>
      <c r="B120" s="10" t="s">
        <v>900</v>
      </c>
      <c r="C120" s="10" t="s">
        <v>640</v>
      </c>
      <c r="D120" s="10" t="s">
        <v>952</v>
      </c>
      <c r="E120" s="10" t="s">
        <v>953</v>
      </c>
      <c r="F120" s="10" t="s">
        <v>954</v>
      </c>
      <c r="G120" s="10" t="s">
        <v>955</v>
      </c>
    </row>
    <row r="121" customFormat="false" ht="23.85" hidden="false" customHeight="false" outlineLevel="0" collapsed="false">
      <c r="A121" s="10" t="s">
        <v>956</v>
      </c>
      <c r="B121" s="10" t="s">
        <v>900</v>
      </c>
      <c r="C121" s="10" t="s">
        <v>640</v>
      </c>
      <c r="D121" s="10" t="s">
        <v>952</v>
      </c>
      <c r="E121" s="10" t="s">
        <v>957</v>
      </c>
      <c r="F121" s="10" t="s">
        <v>231</v>
      </c>
      <c r="G121" s="10" t="s">
        <v>958</v>
      </c>
    </row>
    <row r="122" customFormat="false" ht="35.05" hidden="false" customHeight="false" outlineLevel="0" collapsed="false">
      <c r="A122" s="10" t="s">
        <v>959</v>
      </c>
      <c r="B122" s="10" t="s">
        <v>900</v>
      </c>
      <c r="C122" s="10" t="s">
        <v>640</v>
      </c>
      <c r="D122" s="10" t="s">
        <v>952</v>
      </c>
      <c r="E122" s="10" t="s">
        <v>960</v>
      </c>
      <c r="F122" s="10" t="s">
        <v>579</v>
      </c>
      <c r="G122" s="10" t="s">
        <v>961</v>
      </c>
    </row>
    <row r="123" customFormat="false" ht="35.05" hidden="false" customHeight="false" outlineLevel="0" collapsed="false">
      <c r="A123" s="10" t="s">
        <v>962</v>
      </c>
      <c r="B123" s="10" t="s">
        <v>963</v>
      </c>
      <c r="C123" s="10" t="s">
        <v>679</v>
      </c>
      <c r="D123" s="10" t="s">
        <v>964</v>
      </c>
      <c r="E123" s="10" t="s">
        <v>965</v>
      </c>
      <c r="F123" s="10"/>
      <c r="G123" s="10" t="s">
        <v>966</v>
      </c>
    </row>
    <row r="124" customFormat="false" ht="35.05" hidden="false" customHeight="false" outlineLevel="0" collapsed="false">
      <c r="A124" s="10" t="s">
        <v>967</v>
      </c>
      <c r="B124" s="10" t="s">
        <v>963</v>
      </c>
      <c r="C124" s="10" t="s">
        <v>679</v>
      </c>
      <c r="D124" s="10" t="s">
        <v>964</v>
      </c>
      <c r="E124" s="10" t="s">
        <v>968</v>
      </c>
      <c r="F124" s="10"/>
      <c r="G124" s="10" t="s">
        <v>969</v>
      </c>
    </row>
    <row r="125" customFormat="false" ht="35.05" hidden="false" customHeight="false" outlineLevel="0" collapsed="false">
      <c r="A125" s="10" t="s">
        <v>970</v>
      </c>
      <c r="B125" s="10" t="s">
        <v>963</v>
      </c>
      <c r="C125" s="10" t="s">
        <v>679</v>
      </c>
      <c r="D125" s="10" t="s">
        <v>964</v>
      </c>
      <c r="E125" s="10" t="s">
        <v>971</v>
      </c>
      <c r="F125" s="10"/>
      <c r="G125" s="10" t="s">
        <v>972</v>
      </c>
    </row>
    <row r="126" customFormat="false" ht="35.05" hidden="false" customHeight="false" outlineLevel="0" collapsed="false">
      <c r="A126" s="10" t="s">
        <v>973</v>
      </c>
      <c r="B126" s="10" t="s">
        <v>963</v>
      </c>
      <c r="C126" s="10" t="s">
        <v>640</v>
      </c>
      <c r="D126" s="10" t="s">
        <v>974</v>
      </c>
      <c r="E126" s="10" t="s">
        <v>975</v>
      </c>
      <c r="F126" s="10"/>
      <c r="G126" s="10" t="s">
        <v>976</v>
      </c>
    </row>
    <row r="127" customFormat="false" ht="35.05" hidden="false" customHeight="false" outlineLevel="0" collapsed="false">
      <c r="A127" s="10" t="s">
        <v>977</v>
      </c>
      <c r="B127" s="10" t="s">
        <v>963</v>
      </c>
      <c r="C127" s="10" t="s">
        <v>640</v>
      </c>
      <c r="D127" s="10" t="s">
        <v>974</v>
      </c>
      <c r="E127" s="10" t="s">
        <v>978</v>
      </c>
      <c r="F127" s="10"/>
      <c r="G127" s="10" t="s">
        <v>979</v>
      </c>
    </row>
    <row r="128" customFormat="false" ht="35.05" hidden="false" customHeight="false" outlineLevel="0" collapsed="false">
      <c r="A128" s="10" t="s">
        <v>980</v>
      </c>
      <c r="B128" s="10" t="s">
        <v>963</v>
      </c>
      <c r="C128" s="10" t="s">
        <v>640</v>
      </c>
      <c r="D128" s="10" t="s">
        <v>974</v>
      </c>
      <c r="E128" s="10" t="s">
        <v>981</v>
      </c>
      <c r="F128" s="10"/>
      <c r="G128" s="10" t="s">
        <v>982</v>
      </c>
    </row>
    <row r="129" customFormat="false" ht="35.05" hidden="false" customHeight="false" outlineLevel="0" collapsed="false">
      <c r="A129" s="10" t="s">
        <v>983</v>
      </c>
      <c r="B129" s="10" t="s">
        <v>963</v>
      </c>
      <c r="C129" s="10" t="s">
        <v>640</v>
      </c>
      <c r="D129" s="10" t="s">
        <v>974</v>
      </c>
      <c r="E129" s="10" t="s">
        <v>984</v>
      </c>
      <c r="F129" s="10"/>
      <c r="G129" s="10" t="s">
        <v>985</v>
      </c>
    </row>
    <row r="130" customFormat="false" ht="35.05" hidden="false" customHeight="false" outlineLevel="0" collapsed="false">
      <c r="A130" s="10" t="s">
        <v>986</v>
      </c>
      <c r="B130" s="10" t="s">
        <v>963</v>
      </c>
      <c r="C130" s="10" t="s">
        <v>640</v>
      </c>
      <c r="D130" s="10" t="s">
        <v>974</v>
      </c>
      <c r="E130" s="10" t="s">
        <v>987</v>
      </c>
      <c r="F130" s="10"/>
      <c r="G130" s="10" t="s">
        <v>988</v>
      </c>
    </row>
    <row r="131" customFormat="false" ht="35.05" hidden="false" customHeight="false" outlineLevel="0" collapsed="false">
      <c r="A131" s="10" t="s">
        <v>989</v>
      </c>
      <c r="B131" s="10" t="s">
        <v>963</v>
      </c>
      <c r="C131" s="10" t="s">
        <v>640</v>
      </c>
      <c r="D131" s="10" t="s">
        <v>974</v>
      </c>
      <c r="E131" s="10" t="s">
        <v>990</v>
      </c>
      <c r="F131" s="10"/>
      <c r="G131" s="10" t="s">
        <v>991</v>
      </c>
    </row>
    <row r="132" customFormat="false" ht="35.05" hidden="false" customHeight="false" outlineLevel="0" collapsed="false">
      <c r="A132" s="10" t="s">
        <v>992</v>
      </c>
      <c r="B132" s="10" t="s">
        <v>963</v>
      </c>
      <c r="C132" s="10" t="s">
        <v>679</v>
      </c>
      <c r="D132" s="10" t="s">
        <v>993</v>
      </c>
      <c r="E132" s="10" t="s">
        <v>994</v>
      </c>
      <c r="F132" s="10"/>
      <c r="G132" s="10" t="s">
        <v>995</v>
      </c>
    </row>
    <row r="133" customFormat="false" ht="35.05" hidden="false" customHeight="false" outlineLevel="0" collapsed="false">
      <c r="A133" s="10" t="s">
        <v>996</v>
      </c>
      <c r="B133" s="10" t="s">
        <v>963</v>
      </c>
      <c r="C133" s="10" t="s">
        <v>679</v>
      </c>
      <c r="D133" s="10" t="s">
        <v>993</v>
      </c>
      <c r="E133" s="10" t="s">
        <v>997</v>
      </c>
      <c r="F133" s="10"/>
      <c r="G133" s="10" t="s">
        <v>998</v>
      </c>
    </row>
    <row r="134" customFormat="false" ht="23.85" hidden="false" customHeight="false" outlineLevel="0" collapsed="false">
      <c r="A134" s="10" t="s">
        <v>999</v>
      </c>
      <c r="B134" s="10" t="s">
        <v>963</v>
      </c>
      <c r="C134" s="10" t="s">
        <v>679</v>
      </c>
      <c r="D134" s="10" t="s">
        <v>1000</v>
      </c>
      <c r="E134" s="10" t="s">
        <v>1001</v>
      </c>
      <c r="F134" s="10"/>
      <c r="G134" s="10" t="s">
        <v>1002</v>
      </c>
    </row>
    <row r="135" customFormat="false" ht="35.05" hidden="false" customHeight="false" outlineLevel="0" collapsed="false">
      <c r="A135" s="10" t="s">
        <v>1003</v>
      </c>
      <c r="B135" s="10" t="s">
        <v>963</v>
      </c>
      <c r="C135" s="10" t="s">
        <v>679</v>
      </c>
      <c r="D135" s="10" t="s">
        <v>1000</v>
      </c>
      <c r="E135" s="10" t="s">
        <v>1004</v>
      </c>
      <c r="F135" s="10"/>
      <c r="G135" s="10" t="s">
        <v>1005</v>
      </c>
    </row>
    <row r="136" customFormat="false" ht="35.05" hidden="false" customHeight="false" outlineLevel="0" collapsed="false">
      <c r="A136" s="10" t="s">
        <v>1006</v>
      </c>
      <c r="B136" s="10" t="s">
        <v>963</v>
      </c>
      <c r="C136" s="10" t="s">
        <v>679</v>
      </c>
      <c r="D136" s="10" t="s">
        <v>1000</v>
      </c>
      <c r="E136" s="10" t="s">
        <v>1007</v>
      </c>
      <c r="F136" s="10"/>
      <c r="G136" s="10" t="s">
        <v>1008</v>
      </c>
    </row>
    <row r="137" customFormat="false" ht="35.05" hidden="false" customHeight="false" outlineLevel="0" collapsed="false">
      <c r="A137" s="10" t="s">
        <v>1009</v>
      </c>
      <c r="B137" s="10" t="s">
        <v>963</v>
      </c>
      <c r="C137" s="10" t="s">
        <v>679</v>
      </c>
      <c r="D137" s="10" t="s">
        <v>1010</v>
      </c>
      <c r="E137" s="10" t="s">
        <v>1011</v>
      </c>
      <c r="F137" s="10"/>
      <c r="G137" s="10" t="s">
        <v>1012</v>
      </c>
    </row>
    <row r="138" customFormat="false" ht="23.85" hidden="false" customHeight="false" outlineLevel="0" collapsed="false">
      <c r="A138" s="10" t="s">
        <v>1013</v>
      </c>
      <c r="B138" s="10" t="s">
        <v>963</v>
      </c>
      <c r="C138" s="10" t="s">
        <v>679</v>
      </c>
      <c r="D138" s="10" t="s">
        <v>1010</v>
      </c>
      <c r="E138" s="10" t="s">
        <v>1014</v>
      </c>
      <c r="F138" s="10"/>
      <c r="G138" s="10" t="s">
        <v>1015</v>
      </c>
    </row>
    <row r="139" customFormat="false" ht="35.05" hidden="false" customHeight="false" outlineLevel="0" collapsed="false">
      <c r="A139" s="10" t="s">
        <v>527</v>
      </c>
      <c r="B139" s="10" t="s">
        <v>963</v>
      </c>
      <c r="C139" s="10" t="s">
        <v>640</v>
      </c>
      <c r="D139" s="10" t="s">
        <v>1016</v>
      </c>
      <c r="E139" s="10" t="s">
        <v>1017</v>
      </c>
      <c r="F139" s="10" t="s">
        <v>522</v>
      </c>
      <c r="G139" s="10" t="s">
        <v>1018</v>
      </c>
    </row>
    <row r="140" customFormat="false" ht="23.85" hidden="false" customHeight="false" outlineLevel="0" collapsed="false">
      <c r="A140" s="10" t="s">
        <v>1019</v>
      </c>
      <c r="B140" s="10" t="s">
        <v>963</v>
      </c>
      <c r="C140" s="10" t="s">
        <v>679</v>
      </c>
      <c r="D140" s="10" t="s">
        <v>1020</v>
      </c>
      <c r="E140" s="10" t="s">
        <v>1021</v>
      </c>
      <c r="F140" s="10" t="s">
        <v>310</v>
      </c>
      <c r="G140" s="10" t="s">
        <v>1022</v>
      </c>
    </row>
    <row r="141" customFormat="false" ht="23.85" hidden="false" customHeight="false" outlineLevel="0" collapsed="false">
      <c r="A141" s="10" t="s">
        <v>1023</v>
      </c>
      <c r="B141" s="10" t="s">
        <v>963</v>
      </c>
      <c r="C141" s="10" t="s">
        <v>679</v>
      </c>
      <c r="D141" s="10" t="s">
        <v>1020</v>
      </c>
      <c r="E141" s="10" t="s">
        <v>1024</v>
      </c>
      <c r="F141" s="10"/>
      <c r="G141" s="10" t="s">
        <v>1025</v>
      </c>
    </row>
    <row r="142" customFormat="false" ht="23.85" hidden="false" customHeight="false" outlineLevel="0" collapsed="false">
      <c r="A142" s="10" t="s">
        <v>1026</v>
      </c>
      <c r="B142" s="10" t="s">
        <v>1027</v>
      </c>
      <c r="C142" s="10" t="s">
        <v>679</v>
      </c>
      <c r="D142" s="10" t="s">
        <v>1028</v>
      </c>
      <c r="E142" s="10" t="s">
        <v>1029</v>
      </c>
      <c r="F142" s="10"/>
      <c r="G142" s="10" t="s">
        <v>1030</v>
      </c>
    </row>
    <row r="143" customFormat="false" ht="23.85" hidden="false" customHeight="false" outlineLevel="0" collapsed="false">
      <c r="A143" s="10" t="s">
        <v>1031</v>
      </c>
      <c r="B143" s="10" t="s">
        <v>1027</v>
      </c>
      <c r="C143" s="10" t="s">
        <v>679</v>
      </c>
      <c r="D143" s="10" t="s">
        <v>1028</v>
      </c>
      <c r="E143" s="10" t="s">
        <v>1032</v>
      </c>
      <c r="F143" s="10"/>
      <c r="G143" s="10" t="s">
        <v>1033</v>
      </c>
    </row>
    <row r="144" customFormat="false" ht="23.85" hidden="false" customHeight="false" outlineLevel="0" collapsed="false">
      <c r="A144" s="10" t="s">
        <v>1034</v>
      </c>
      <c r="B144" s="10" t="s">
        <v>1027</v>
      </c>
      <c r="C144" s="10" t="s">
        <v>679</v>
      </c>
      <c r="D144" s="10" t="s">
        <v>1028</v>
      </c>
      <c r="E144" s="10" t="s">
        <v>1035</v>
      </c>
      <c r="F144" s="10"/>
      <c r="G144" s="10" t="s">
        <v>1036</v>
      </c>
    </row>
    <row r="145" customFormat="false" ht="35.05" hidden="false" customHeight="false" outlineLevel="0" collapsed="false">
      <c r="A145" s="10" t="s">
        <v>1037</v>
      </c>
      <c r="B145" s="10" t="s">
        <v>1027</v>
      </c>
      <c r="C145" s="10" t="s">
        <v>679</v>
      </c>
      <c r="D145" s="10" t="s">
        <v>1028</v>
      </c>
      <c r="E145" s="10" t="s">
        <v>1038</v>
      </c>
      <c r="F145" s="10"/>
      <c r="G145" s="10" t="s">
        <v>1039</v>
      </c>
    </row>
    <row r="146" customFormat="false" ht="35.05" hidden="false" customHeight="false" outlineLevel="0" collapsed="false">
      <c r="A146" s="10" t="s">
        <v>1040</v>
      </c>
      <c r="B146" s="10" t="s">
        <v>1027</v>
      </c>
      <c r="C146" s="10" t="s">
        <v>679</v>
      </c>
      <c r="D146" s="10" t="s">
        <v>1028</v>
      </c>
      <c r="E146" s="10" t="s">
        <v>1041</v>
      </c>
      <c r="F146" s="10"/>
      <c r="G146" s="10" t="s">
        <v>1042</v>
      </c>
    </row>
    <row r="147" customFormat="false" ht="23.85" hidden="false" customHeight="false" outlineLevel="0" collapsed="false">
      <c r="A147" s="10" t="s">
        <v>1043</v>
      </c>
      <c r="B147" s="10" t="s">
        <v>1027</v>
      </c>
      <c r="C147" s="10" t="s">
        <v>679</v>
      </c>
      <c r="D147" s="10" t="s">
        <v>1028</v>
      </c>
      <c r="E147" s="10" t="s">
        <v>1044</v>
      </c>
      <c r="F147" s="10"/>
      <c r="G147" s="10" t="s">
        <v>1045</v>
      </c>
    </row>
    <row r="148" customFormat="false" ht="23.85" hidden="false" customHeight="false" outlineLevel="0" collapsed="false">
      <c r="A148" s="10" t="s">
        <v>1046</v>
      </c>
      <c r="B148" s="10" t="s">
        <v>1027</v>
      </c>
      <c r="C148" s="10" t="s">
        <v>679</v>
      </c>
      <c r="D148" s="10" t="s">
        <v>1028</v>
      </c>
      <c r="E148" s="10" t="s">
        <v>1047</v>
      </c>
      <c r="F148" s="10"/>
      <c r="G148" s="10" t="s">
        <v>1048</v>
      </c>
    </row>
    <row r="149" customFormat="false" ht="23.85" hidden="false" customHeight="false" outlineLevel="0" collapsed="false">
      <c r="A149" s="10" t="s">
        <v>1049</v>
      </c>
      <c r="B149" s="10" t="s">
        <v>1027</v>
      </c>
      <c r="C149" s="10" t="s">
        <v>679</v>
      </c>
      <c r="D149" s="10" t="s">
        <v>1028</v>
      </c>
      <c r="E149" s="10" t="s">
        <v>1050</v>
      </c>
      <c r="F149" s="10"/>
      <c r="G149" s="10" t="s">
        <v>1051</v>
      </c>
    </row>
    <row r="150" customFormat="false" ht="35.05" hidden="false" customHeight="false" outlineLevel="0" collapsed="false">
      <c r="A150" s="10" t="s">
        <v>1052</v>
      </c>
      <c r="B150" s="10" t="s">
        <v>1027</v>
      </c>
      <c r="C150" s="10" t="s">
        <v>679</v>
      </c>
      <c r="D150" s="10" t="s">
        <v>1028</v>
      </c>
      <c r="E150" s="10" t="s">
        <v>1053</v>
      </c>
      <c r="F150" s="10"/>
      <c r="G150" s="10" t="s">
        <v>1054</v>
      </c>
    </row>
    <row r="151" customFormat="false" ht="35.05" hidden="false" customHeight="false" outlineLevel="0" collapsed="false">
      <c r="A151" s="10" t="s">
        <v>1055</v>
      </c>
      <c r="B151" s="10" t="s">
        <v>1027</v>
      </c>
      <c r="C151" s="10" t="s">
        <v>679</v>
      </c>
      <c r="D151" s="10" t="s">
        <v>1056</v>
      </c>
      <c r="E151" s="10" t="s">
        <v>1057</v>
      </c>
      <c r="F151" s="10" t="s">
        <v>480</v>
      </c>
      <c r="G151" s="10" t="s">
        <v>1058</v>
      </c>
    </row>
    <row r="152" customFormat="false" ht="23.85" hidden="false" customHeight="false" outlineLevel="0" collapsed="false">
      <c r="A152" s="10" t="s">
        <v>1059</v>
      </c>
      <c r="B152" s="10" t="s">
        <v>1027</v>
      </c>
      <c r="C152" s="10" t="s">
        <v>1060</v>
      </c>
      <c r="D152" s="10" t="s">
        <v>1061</v>
      </c>
      <c r="E152" s="10" t="s">
        <v>1062</v>
      </c>
      <c r="F152" s="10"/>
      <c r="G152" s="10" t="s">
        <v>1063</v>
      </c>
    </row>
    <row r="153" customFormat="false" ht="23.85" hidden="false" customHeight="false" outlineLevel="0" collapsed="false">
      <c r="A153" s="10" t="s">
        <v>1064</v>
      </c>
      <c r="B153" s="10" t="s">
        <v>1027</v>
      </c>
      <c r="C153" s="10" t="s">
        <v>1060</v>
      </c>
      <c r="D153" s="10" t="s">
        <v>1061</v>
      </c>
      <c r="E153" s="10" t="s">
        <v>1065</v>
      </c>
      <c r="F153" s="10"/>
      <c r="G153" s="10" t="s">
        <v>1066</v>
      </c>
    </row>
    <row r="154" customFormat="false" ht="35.05" hidden="false" customHeight="false" outlineLevel="0" collapsed="false">
      <c r="A154" s="10" t="s">
        <v>1067</v>
      </c>
      <c r="B154" s="10" t="s">
        <v>1027</v>
      </c>
      <c r="C154" s="10" t="s">
        <v>1060</v>
      </c>
      <c r="D154" s="10" t="s">
        <v>1061</v>
      </c>
      <c r="E154" s="10" t="s">
        <v>1068</v>
      </c>
      <c r="F154" s="10"/>
      <c r="G154" s="10" t="s">
        <v>1069</v>
      </c>
    </row>
    <row r="155" customFormat="false" ht="23.85" hidden="false" customHeight="false" outlineLevel="0" collapsed="false">
      <c r="A155" s="10" t="s">
        <v>1070</v>
      </c>
      <c r="B155" s="10" t="s">
        <v>1027</v>
      </c>
      <c r="C155" s="10" t="s">
        <v>1060</v>
      </c>
      <c r="D155" s="10" t="s">
        <v>1071</v>
      </c>
      <c r="E155" s="10" t="s">
        <v>253</v>
      </c>
      <c r="F155" s="10"/>
      <c r="G155" s="10" t="s">
        <v>1072</v>
      </c>
    </row>
    <row r="156" customFormat="false" ht="35.05" hidden="false" customHeight="false" outlineLevel="0" collapsed="false">
      <c r="A156" s="10" t="s">
        <v>360</v>
      </c>
      <c r="B156" s="10" t="s">
        <v>1027</v>
      </c>
      <c r="C156" s="10" t="s">
        <v>1060</v>
      </c>
      <c r="D156" s="10" t="s">
        <v>1071</v>
      </c>
      <c r="E156" s="10" t="s">
        <v>1073</v>
      </c>
      <c r="F156" s="10" t="s">
        <v>356</v>
      </c>
      <c r="G156" s="10" t="s">
        <v>1074</v>
      </c>
    </row>
    <row r="157" customFormat="false" ht="35.05" hidden="false" customHeight="false" outlineLevel="0" collapsed="false">
      <c r="A157" s="10" t="s">
        <v>332</v>
      </c>
      <c r="B157" s="10" t="s">
        <v>1027</v>
      </c>
      <c r="C157" s="10" t="s">
        <v>1060</v>
      </c>
      <c r="D157" s="10" t="s">
        <v>1071</v>
      </c>
      <c r="E157" s="10" t="s">
        <v>1075</v>
      </c>
      <c r="F157" s="10" t="s">
        <v>326</v>
      </c>
      <c r="G157" s="10" t="s">
        <v>1076</v>
      </c>
    </row>
    <row r="158" customFormat="false" ht="23.85" hidden="false" customHeight="false" outlineLevel="0" collapsed="false">
      <c r="A158" s="10" t="s">
        <v>1077</v>
      </c>
      <c r="B158" s="10" t="s">
        <v>1027</v>
      </c>
      <c r="C158" s="10" t="s">
        <v>1060</v>
      </c>
      <c r="D158" s="10" t="s">
        <v>1071</v>
      </c>
      <c r="E158" s="10" t="s">
        <v>645</v>
      </c>
      <c r="F158" s="10" t="s">
        <v>333</v>
      </c>
      <c r="G158" s="10" t="s">
        <v>1078</v>
      </c>
    </row>
    <row r="159" customFormat="false" ht="23.85" hidden="false" customHeight="false" outlineLevel="0" collapsed="false">
      <c r="A159" s="10" t="s">
        <v>1079</v>
      </c>
      <c r="B159" s="10" t="s">
        <v>1027</v>
      </c>
      <c r="C159" s="10" t="s">
        <v>1060</v>
      </c>
      <c r="D159" s="10" t="s">
        <v>1071</v>
      </c>
      <c r="E159" s="10" t="s">
        <v>1080</v>
      </c>
      <c r="F159" s="10" t="s">
        <v>377</v>
      </c>
      <c r="G159" s="10" t="s">
        <v>1081</v>
      </c>
    </row>
    <row r="160" customFormat="false" ht="23.85" hidden="false" customHeight="false" outlineLevel="0" collapsed="false">
      <c r="A160" s="10" t="s">
        <v>372</v>
      </c>
      <c r="B160" s="10" t="s">
        <v>1027</v>
      </c>
      <c r="C160" s="10" t="s">
        <v>1060</v>
      </c>
      <c r="D160" s="10" t="s">
        <v>1071</v>
      </c>
      <c r="E160" s="10" t="s">
        <v>1082</v>
      </c>
      <c r="F160" s="10" t="s">
        <v>1083</v>
      </c>
      <c r="G160" s="10" t="s">
        <v>1084</v>
      </c>
    </row>
    <row r="161" customFormat="false" ht="35.05" hidden="false" customHeight="false" outlineLevel="0" collapsed="false">
      <c r="A161" s="10" t="s">
        <v>366</v>
      </c>
      <c r="B161" s="10" t="s">
        <v>1027</v>
      </c>
      <c r="C161" s="10" t="s">
        <v>1060</v>
      </c>
      <c r="D161" s="10" t="s">
        <v>1071</v>
      </c>
      <c r="E161" s="10" t="s">
        <v>1085</v>
      </c>
      <c r="F161" s="10" t="s">
        <v>1086</v>
      </c>
      <c r="G161" s="10" t="s">
        <v>1087</v>
      </c>
    </row>
    <row r="162" customFormat="false" ht="23.85" hidden="false" customHeight="false" outlineLevel="0" collapsed="false">
      <c r="A162" s="10" t="s">
        <v>1088</v>
      </c>
      <c r="B162" s="10" t="s">
        <v>1027</v>
      </c>
      <c r="C162" s="10" t="s">
        <v>1060</v>
      </c>
      <c r="D162" s="10" t="s">
        <v>1071</v>
      </c>
      <c r="E162" s="10" t="s">
        <v>1089</v>
      </c>
      <c r="F162" s="10" t="s">
        <v>1090</v>
      </c>
      <c r="G162" s="10" t="s">
        <v>1091</v>
      </c>
    </row>
    <row r="163" customFormat="false" ht="35.05" hidden="false" customHeight="false" outlineLevel="0" collapsed="false">
      <c r="A163" s="10" t="s">
        <v>1092</v>
      </c>
      <c r="B163" s="10" t="s">
        <v>1027</v>
      </c>
      <c r="C163" s="10" t="s">
        <v>1060</v>
      </c>
      <c r="D163" s="10" t="s">
        <v>1071</v>
      </c>
      <c r="E163" s="10" t="s">
        <v>1093</v>
      </c>
      <c r="F163" s="10" t="s">
        <v>333</v>
      </c>
      <c r="G163" s="10" t="s">
        <v>1094</v>
      </c>
    </row>
    <row r="164" customFormat="false" ht="35.05" hidden="false" customHeight="false" outlineLevel="0" collapsed="false">
      <c r="A164" s="10" t="s">
        <v>1095</v>
      </c>
      <c r="B164" s="10" t="s">
        <v>1027</v>
      </c>
      <c r="C164" s="10" t="s">
        <v>1060</v>
      </c>
      <c r="D164" s="10" t="s">
        <v>1071</v>
      </c>
      <c r="E164" s="10" t="s">
        <v>1096</v>
      </c>
      <c r="F164" s="10" t="s">
        <v>344</v>
      </c>
      <c r="G164" s="10" t="s">
        <v>1097</v>
      </c>
    </row>
    <row r="165" customFormat="false" ht="23.85" hidden="false" customHeight="false" outlineLevel="0" collapsed="false">
      <c r="A165" s="10" t="s">
        <v>1098</v>
      </c>
      <c r="B165" s="10" t="s">
        <v>1027</v>
      </c>
      <c r="C165" s="10" t="s">
        <v>1060</v>
      </c>
      <c r="D165" s="10" t="s">
        <v>1071</v>
      </c>
      <c r="E165" s="10" t="s">
        <v>1099</v>
      </c>
      <c r="F165" s="10"/>
      <c r="G165" s="10" t="s">
        <v>1100</v>
      </c>
    </row>
    <row r="166" customFormat="false" ht="23.85" hidden="false" customHeight="false" outlineLevel="0" collapsed="false">
      <c r="A166" s="10" t="s">
        <v>1101</v>
      </c>
      <c r="B166" s="10" t="s">
        <v>1027</v>
      </c>
      <c r="C166" s="10" t="s">
        <v>1060</v>
      </c>
      <c r="D166" s="10" t="s">
        <v>1071</v>
      </c>
      <c r="E166" s="10" t="s">
        <v>1102</v>
      </c>
      <c r="F166" s="10" t="s">
        <v>350</v>
      </c>
      <c r="G166" s="10" t="s">
        <v>1103</v>
      </c>
    </row>
    <row r="167" customFormat="false" ht="23.85" hidden="false" customHeight="false" outlineLevel="0" collapsed="false">
      <c r="A167" s="10" t="s">
        <v>1104</v>
      </c>
      <c r="B167" s="10" t="s">
        <v>1105</v>
      </c>
      <c r="C167" s="10" t="s">
        <v>818</v>
      </c>
      <c r="D167" s="10" t="s">
        <v>1106</v>
      </c>
      <c r="E167" s="10" t="s">
        <v>1107</v>
      </c>
      <c r="F167" s="10"/>
      <c r="G167" s="10" t="s">
        <v>1108</v>
      </c>
    </row>
    <row r="168" customFormat="false" ht="23.85" hidden="false" customHeight="false" outlineLevel="0" collapsed="false">
      <c r="A168" s="10" t="s">
        <v>425</v>
      </c>
      <c r="B168" s="10" t="s">
        <v>1105</v>
      </c>
      <c r="C168" s="10" t="s">
        <v>818</v>
      </c>
      <c r="D168" s="10" t="s">
        <v>1106</v>
      </c>
      <c r="E168" s="10" t="s">
        <v>1109</v>
      </c>
      <c r="F168" s="10" t="s">
        <v>421</v>
      </c>
      <c r="G168" s="10" t="s">
        <v>1110</v>
      </c>
    </row>
    <row r="169" customFormat="false" ht="35.05" hidden="false" customHeight="false" outlineLevel="0" collapsed="false">
      <c r="A169" s="10" t="s">
        <v>1111</v>
      </c>
      <c r="B169" s="10" t="s">
        <v>1105</v>
      </c>
      <c r="C169" s="10" t="s">
        <v>818</v>
      </c>
      <c r="D169" s="10" t="s">
        <v>1106</v>
      </c>
      <c r="E169" s="10" t="s">
        <v>1112</v>
      </c>
      <c r="F169" s="10"/>
      <c r="G169" s="10" t="s">
        <v>1113</v>
      </c>
    </row>
    <row r="170" customFormat="false" ht="35.05" hidden="false" customHeight="false" outlineLevel="0" collapsed="false">
      <c r="A170" s="10" t="s">
        <v>1114</v>
      </c>
      <c r="B170" s="10" t="s">
        <v>1105</v>
      </c>
      <c r="C170" s="10" t="s">
        <v>818</v>
      </c>
      <c r="D170" s="10" t="s">
        <v>1106</v>
      </c>
      <c r="E170" s="10" t="s">
        <v>1115</v>
      </c>
      <c r="F170" s="10"/>
      <c r="G170" s="10" t="s">
        <v>1116</v>
      </c>
    </row>
    <row r="171" customFormat="false" ht="23.85" hidden="false" customHeight="false" outlineLevel="0" collapsed="false">
      <c r="A171" s="10" t="s">
        <v>1117</v>
      </c>
      <c r="B171" s="10" t="s">
        <v>1105</v>
      </c>
      <c r="C171" s="10" t="s">
        <v>818</v>
      </c>
      <c r="D171" s="10" t="s">
        <v>1106</v>
      </c>
      <c r="E171" s="10" t="s">
        <v>475</v>
      </c>
      <c r="F171" s="10"/>
      <c r="G171" s="10" t="s">
        <v>1118</v>
      </c>
    </row>
    <row r="172" customFormat="false" ht="23.85" hidden="false" customHeight="false" outlineLevel="0" collapsed="false">
      <c r="A172" s="10" t="s">
        <v>1119</v>
      </c>
      <c r="B172" s="10" t="s">
        <v>1105</v>
      </c>
      <c r="C172" s="10" t="s">
        <v>818</v>
      </c>
      <c r="D172" s="10" t="s">
        <v>1106</v>
      </c>
      <c r="E172" s="10" t="s">
        <v>1120</v>
      </c>
      <c r="F172" s="10"/>
      <c r="G172" s="10" t="s">
        <v>1121</v>
      </c>
    </row>
    <row r="173" customFormat="false" ht="23.85" hidden="false" customHeight="false" outlineLevel="0" collapsed="false">
      <c r="A173" s="10" t="s">
        <v>1122</v>
      </c>
      <c r="B173" s="10" t="s">
        <v>1105</v>
      </c>
      <c r="C173" s="10" t="s">
        <v>818</v>
      </c>
      <c r="D173" s="10" t="s">
        <v>1106</v>
      </c>
      <c r="E173" s="10" t="s">
        <v>1123</v>
      </c>
      <c r="F173" s="10"/>
      <c r="G173" s="10" t="s">
        <v>1124</v>
      </c>
    </row>
    <row r="174" customFormat="false" ht="23.85" hidden="false" customHeight="false" outlineLevel="0" collapsed="false">
      <c r="A174" s="10" t="s">
        <v>1125</v>
      </c>
      <c r="B174" s="10" t="s">
        <v>1105</v>
      </c>
      <c r="C174" s="10" t="s">
        <v>818</v>
      </c>
      <c r="D174" s="10" t="s">
        <v>1126</v>
      </c>
      <c r="E174" s="10" t="s">
        <v>1127</v>
      </c>
      <c r="F174" s="10" t="s">
        <v>480</v>
      </c>
      <c r="G174" s="10" t="s">
        <v>1128</v>
      </c>
    </row>
    <row r="175" customFormat="false" ht="35.05" hidden="false" customHeight="false" outlineLevel="0" collapsed="false">
      <c r="A175" s="10" t="s">
        <v>1129</v>
      </c>
      <c r="B175" s="10" t="s">
        <v>1105</v>
      </c>
      <c r="C175" s="10" t="s">
        <v>818</v>
      </c>
      <c r="D175" s="10" t="s">
        <v>1126</v>
      </c>
      <c r="E175" s="10" t="s">
        <v>1130</v>
      </c>
      <c r="F175" s="10"/>
      <c r="G175" s="10" t="s">
        <v>1131</v>
      </c>
    </row>
    <row r="176" customFormat="false" ht="23.85" hidden="false" customHeight="false" outlineLevel="0" collapsed="false">
      <c r="A176" s="10" t="s">
        <v>1132</v>
      </c>
      <c r="B176" s="10" t="s">
        <v>1105</v>
      </c>
      <c r="C176" s="10" t="s">
        <v>640</v>
      </c>
      <c r="D176" s="10" t="s">
        <v>1133</v>
      </c>
      <c r="E176" s="10" t="s">
        <v>1134</v>
      </c>
      <c r="F176" s="10" t="s">
        <v>1135</v>
      </c>
      <c r="G176" s="10" t="s">
        <v>1136</v>
      </c>
    </row>
    <row r="177" customFormat="false" ht="23.85" hidden="false" customHeight="false" outlineLevel="0" collapsed="false">
      <c r="A177" s="10" t="s">
        <v>1137</v>
      </c>
      <c r="B177" s="10" t="s">
        <v>1105</v>
      </c>
      <c r="C177" s="10" t="s">
        <v>640</v>
      </c>
      <c r="D177" s="10" t="s">
        <v>1133</v>
      </c>
      <c r="E177" s="10" t="s">
        <v>1138</v>
      </c>
      <c r="F177" s="10" t="s">
        <v>387</v>
      </c>
      <c r="G177" s="10" t="s">
        <v>1139</v>
      </c>
    </row>
    <row r="178" customFormat="false" ht="23.85" hidden="false" customHeight="false" outlineLevel="0" collapsed="false">
      <c r="A178" s="10" t="s">
        <v>1140</v>
      </c>
      <c r="B178" s="10" t="s">
        <v>1105</v>
      </c>
      <c r="C178" s="10" t="s">
        <v>640</v>
      </c>
      <c r="D178" s="10" t="s">
        <v>1133</v>
      </c>
      <c r="E178" s="10" t="s">
        <v>1141</v>
      </c>
      <c r="F178" s="10" t="s">
        <v>400</v>
      </c>
      <c r="G178" s="10" t="s">
        <v>1142</v>
      </c>
    </row>
    <row r="179" customFormat="false" ht="35.05" hidden="false" customHeight="false" outlineLevel="0" collapsed="false">
      <c r="A179" s="10" t="s">
        <v>1143</v>
      </c>
      <c r="B179" s="10" t="s">
        <v>1105</v>
      </c>
      <c r="C179" s="10" t="s">
        <v>640</v>
      </c>
      <c r="D179" s="10" t="s">
        <v>1133</v>
      </c>
      <c r="E179" s="10" t="s">
        <v>1144</v>
      </c>
      <c r="F179" s="10" t="s">
        <v>400</v>
      </c>
      <c r="G179" s="10" t="s">
        <v>1145</v>
      </c>
    </row>
    <row r="180" customFormat="false" ht="23.85" hidden="false" customHeight="false" outlineLevel="0" collapsed="false">
      <c r="A180" s="10" t="s">
        <v>410</v>
      </c>
      <c r="B180" s="10" t="s">
        <v>1105</v>
      </c>
      <c r="C180" s="10" t="s">
        <v>640</v>
      </c>
      <c r="D180" s="10" t="s">
        <v>1133</v>
      </c>
      <c r="E180" s="10" t="s">
        <v>1146</v>
      </c>
      <c r="F180" s="10" t="s">
        <v>406</v>
      </c>
      <c r="G180" s="10" t="s">
        <v>1147</v>
      </c>
    </row>
    <row r="181" customFormat="false" ht="23.85" hidden="false" customHeight="false" outlineLevel="0" collapsed="false">
      <c r="A181" s="10" t="s">
        <v>1148</v>
      </c>
      <c r="B181" s="10" t="s">
        <v>1105</v>
      </c>
      <c r="C181" s="10" t="s">
        <v>640</v>
      </c>
      <c r="D181" s="10" t="s">
        <v>1149</v>
      </c>
      <c r="E181" s="10" t="s">
        <v>1150</v>
      </c>
      <c r="F181" s="10" t="s">
        <v>415</v>
      </c>
      <c r="G181" s="10" t="s">
        <v>1151</v>
      </c>
    </row>
    <row r="182" customFormat="false" ht="35.05" hidden="false" customHeight="false" outlineLevel="0" collapsed="false">
      <c r="A182" s="10" t="s">
        <v>436</v>
      </c>
      <c r="B182" s="10" t="s">
        <v>1105</v>
      </c>
      <c r="C182" s="10" t="s">
        <v>640</v>
      </c>
      <c r="D182" s="10" t="s">
        <v>1149</v>
      </c>
      <c r="E182" s="10" t="s">
        <v>1152</v>
      </c>
      <c r="F182" s="10" t="s">
        <v>1153</v>
      </c>
      <c r="G182" s="10" t="s">
        <v>1154</v>
      </c>
    </row>
    <row r="183" customFormat="false" ht="35.05" hidden="false" customHeight="false" outlineLevel="0" collapsed="false">
      <c r="A183" s="10" t="s">
        <v>455</v>
      </c>
      <c r="B183" s="10" t="s">
        <v>1105</v>
      </c>
      <c r="C183" s="10" t="s">
        <v>640</v>
      </c>
      <c r="D183" s="10" t="s">
        <v>1149</v>
      </c>
      <c r="E183" s="10" t="s">
        <v>1155</v>
      </c>
      <c r="F183" s="10" t="s">
        <v>451</v>
      </c>
      <c r="G183" s="10" t="s">
        <v>1156</v>
      </c>
    </row>
    <row r="184" customFormat="false" ht="23.85" hidden="false" customHeight="false" outlineLevel="0" collapsed="false">
      <c r="A184" s="10" t="s">
        <v>473</v>
      </c>
      <c r="B184" s="10" t="s">
        <v>1105</v>
      </c>
      <c r="C184" s="10" t="s">
        <v>640</v>
      </c>
      <c r="D184" s="10" t="s">
        <v>1149</v>
      </c>
      <c r="E184" s="10" t="s">
        <v>1157</v>
      </c>
      <c r="F184" s="10" t="s">
        <v>1158</v>
      </c>
      <c r="G184" s="10" t="s">
        <v>1159</v>
      </c>
    </row>
    <row r="185" customFormat="false" ht="23.85" hidden="false" customHeight="false" outlineLevel="0" collapsed="false">
      <c r="A185" s="10" t="s">
        <v>461</v>
      </c>
      <c r="B185" s="10" t="s">
        <v>1105</v>
      </c>
      <c r="C185" s="10" t="s">
        <v>640</v>
      </c>
      <c r="D185" s="10" t="s">
        <v>1160</v>
      </c>
      <c r="E185" s="10" t="s">
        <v>1161</v>
      </c>
      <c r="F185" s="10" t="s">
        <v>456</v>
      </c>
      <c r="G185" s="10" t="s">
        <v>1162</v>
      </c>
    </row>
    <row r="186" customFormat="false" ht="23.85" hidden="false" customHeight="false" outlineLevel="0" collapsed="false">
      <c r="A186" s="10" t="s">
        <v>466</v>
      </c>
      <c r="B186" s="10" t="s">
        <v>1105</v>
      </c>
      <c r="C186" s="10" t="s">
        <v>640</v>
      </c>
      <c r="D186" s="10" t="s">
        <v>1160</v>
      </c>
      <c r="E186" s="10" t="s">
        <v>463</v>
      </c>
      <c r="F186" s="10" t="s">
        <v>462</v>
      </c>
      <c r="G186" s="10" t="s">
        <v>1163</v>
      </c>
    </row>
  </sheetData>
  <autoFilter ref="A1:G1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4" min="3" style="0" width="60"/>
  </cols>
  <sheetData>
    <row r="1" customFormat="false" ht="30" hidden="false" customHeight="true" outlineLevel="0" collapsed="false">
      <c r="A1" s="9" t="s">
        <v>1164</v>
      </c>
      <c r="B1" s="9" t="s">
        <v>1165</v>
      </c>
      <c r="C1" s="9" t="s">
        <v>1166</v>
      </c>
      <c r="D1" s="9" t="s">
        <v>1167</v>
      </c>
    </row>
    <row r="2" customFormat="false" ht="15" hidden="false" customHeight="false" outlineLevel="0" collapsed="false">
      <c r="A2" s="10" t="s">
        <v>1168</v>
      </c>
      <c r="B2" s="10" t="s">
        <v>1169</v>
      </c>
      <c r="C2" s="10" t="s">
        <v>1170</v>
      </c>
      <c r="D2" s="10" t="s">
        <v>1171</v>
      </c>
    </row>
    <row r="3" customFormat="false" ht="15" hidden="false" customHeight="false" outlineLevel="0" collapsed="false">
      <c r="A3" s="10" t="s">
        <v>1168</v>
      </c>
      <c r="B3" s="10" t="s">
        <v>1172</v>
      </c>
      <c r="C3" s="10" t="s">
        <v>1173</v>
      </c>
      <c r="D3" s="10" t="s">
        <v>1171</v>
      </c>
    </row>
    <row r="4" customFormat="false" ht="15" hidden="false" customHeight="false" outlineLevel="0" collapsed="false">
      <c r="A4" s="10" t="s">
        <v>1168</v>
      </c>
      <c r="B4" s="10" t="s">
        <v>1174</v>
      </c>
      <c r="C4" s="10" t="s">
        <v>1175</v>
      </c>
      <c r="D4" s="10" t="s">
        <v>1171</v>
      </c>
    </row>
    <row r="5" customFormat="false" ht="15" hidden="false" customHeight="false" outlineLevel="0" collapsed="false">
      <c r="A5" s="10" t="s">
        <v>1168</v>
      </c>
      <c r="B5" s="10" t="s">
        <v>1176</v>
      </c>
      <c r="C5" s="10" t="s">
        <v>1177</v>
      </c>
      <c r="D5" s="10" t="s">
        <v>1171</v>
      </c>
    </row>
    <row r="6" customFormat="false" ht="15" hidden="false" customHeight="false" outlineLevel="0" collapsed="false">
      <c r="A6" s="10" t="s">
        <v>1168</v>
      </c>
      <c r="B6" s="10" t="s">
        <v>1178</v>
      </c>
      <c r="C6" s="10" t="s">
        <v>1179</v>
      </c>
      <c r="D6" s="10" t="s">
        <v>1171</v>
      </c>
    </row>
    <row r="7" customFormat="false" ht="15" hidden="false" customHeight="false" outlineLevel="0" collapsed="false">
      <c r="A7" s="10" t="s">
        <v>1168</v>
      </c>
      <c r="B7" s="10" t="s">
        <v>1180</v>
      </c>
      <c r="C7" s="10" t="s">
        <v>1181</v>
      </c>
      <c r="D7" s="10" t="s">
        <v>1171</v>
      </c>
    </row>
    <row r="8" customFormat="false" ht="15" hidden="false" customHeight="false" outlineLevel="0" collapsed="false">
      <c r="A8" s="10" t="s">
        <v>1168</v>
      </c>
      <c r="B8" s="10" t="s">
        <v>1182</v>
      </c>
      <c r="C8" s="10" t="s">
        <v>1183</v>
      </c>
      <c r="D8" s="10" t="s">
        <v>1171</v>
      </c>
    </row>
    <row r="9" customFormat="false" ht="15" hidden="false" customHeight="false" outlineLevel="0" collapsed="false">
      <c r="A9" s="10" t="s">
        <v>1168</v>
      </c>
      <c r="B9" s="10" t="s">
        <v>1184</v>
      </c>
      <c r="C9" s="10" t="s">
        <v>1185</v>
      </c>
      <c r="D9" s="10" t="s">
        <v>1171</v>
      </c>
    </row>
    <row r="10" customFormat="false" ht="15" hidden="false" customHeight="false" outlineLevel="0" collapsed="false">
      <c r="A10" s="10" t="s">
        <v>1168</v>
      </c>
      <c r="B10" s="10" t="s">
        <v>1186</v>
      </c>
      <c r="C10" s="10" t="s">
        <v>1187</v>
      </c>
      <c r="D10" s="10" t="s">
        <v>1171</v>
      </c>
    </row>
    <row r="11" customFormat="false" ht="15" hidden="false" customHeight="false" outlineLevel="0" collapsed="false">
      <c r="A11" s="10" t="s">
        <v>1168</v>
      </c>
      <c r="B11" s="10" t="s">
        <v>1188</v>
      </c>
      <c r="C11" s="10" t="s">
        <v>1189</v>
      </c>
      <c r="D11" s="10" t="s">
        <v>1171</v>
      </c>
    </row>
    <row r="12" customFormat="false" ht="15" hidden="false" customHeight="false" outlineLevel="0" collapsed="false">
      <c r="A12" s="10" t="s">
        <v>1168</v>
      </c>
      <c r="B12" s="10" t="s">
        <v>1190</v>
      </c>
      <c r="C12" s="10" t="s">
        <v>1191</v>
      </c>
      <c r="D12" s="10" t="s">
        <v>1171</v>
      </c>
    </row>
    <row r="13" customFormat="false" ht="15" hidden="false" customHeight="false" outlineLevel="0" collapsed="false">
      <c r="A13" s="10" t="s">
        <v>1168</v>
      </c>
      <c r="B13" s="10" t="s">
        <v>1192</v>
      </c>
      <c r="C13" s="10" t="s">
        <v>1193</v>
      </c>
      <c r="D13" s="10" t="s">
        <v>1171</v>
      </c>
    </row>
    <row r="14" customFormat="false" ht="15" hidden="false" customHeight="false" outlineLevel="0" collapsed="false">
      <c r="A14" s="10" t="s">
        <v>1168</v>
      </c>
      <c r="B14" s="10" t="s">
        <v>1194</v>
      </c>
      <c r="C14" s="10" t="s">
        <v>1195</v>
      </c>
      <c r="D14" s="10" t="s">
        <v>1171</v>
      </c>
    </row>
    <row r="15" customFormat="false" ht="15" hidden="false" customHeight="false" outlineLevel="0" collapsed="false">
      <c r="A15" s="10" t="s">
        <v>1168</v>
      </c>
      <c r="B15" s="10" t="s">
        <v>1196</v>
      </c>
      <c r="C15" s="10" t="s">
        <v>1197</v>
      </c>
      <c r="D15" s="10" t="s">
        <v>1171</v>
      </c>
    </row>
    <row r="16" customFormat="false" ht="15" hidden="false" customHeight="false" outlineLevel="0" collapsed="false">
      <c r="A16" s="10" t="s">
        <v>1168</v>
      </c>
      <c r="B16" s="10" t="s">
        <v>320</v>
      </c>
      <c r="C16" s="10" t="s">
        <v>1198</v>
      </c>
      <c r="D16" s="10" t="s">
        <v>1171</v>
      </c>
    </row>
    <row r="17" customFormat="false" ht="15" hidden="false" customHeight="false" outlineLevel="0" collapsed="false">
      <c r="A17" s="10" t="s">
        <v>1168</v>
      </c>
      <c r="B17" s="10" t="s">
        <v>1199</v>
      </c>
      <c r="C17" s="10" t="s">
        <v>1200</v>
      </c>
      <c r="D17" s="10" t="s">
        <v>1171</v>
      </c>
    </row>
    <row r="18" customFormat="false" ht="15" hidden="false" customHeight="false" outlineLevel="0" collapsed="false">
      <c r="A18" s="10" t="s">
        <v>1201</v>
      </c>
      <c r="B18" s="10" t="s">
        <v>77</v>
      </c>
      <c r="C18" s="10" t="s">
        <v>1202</v>
      </c>
      <c r="D18" s="10" t="s">
        <v>1203</v>
      </c>
    </row>
    <row r="19" customFormat="false" ht="15" hidden="false" customHeight="false" outlineLevel="0" collapsed="false">
      <c r="A19" s="10" t="s">
        <v>1201</v>
      </c>
      <c r="B19" s="10" t="s">
        <v>77</v>
      </c>
      <c r="C19" s="10" t="s">
        <v>1204</v>
      </c>
      <c r="D19" s="10" t="s">
        <v>1203</v>
      </c>
    </row>
    <row r="20" customFormat="false" ht="15" hidden="false" customHeight="false" outlineLevel="0" collapsed="false">
      <c r="A20" s="10" t="s">
        <v>1201</v>
      </c>
      <c r="B20" s="10" t="s">
        <v>1205</v>
      </c>
      <c r="C20" s="10" t="s">
        <v>1185</v>
      </c>
      <c r="D20" s="10" t="s">
        <v>1203</v>
      </c>
    </row>
    <row r="21" customFormat="false" ht="15" hidden="false" customHeight="false" outlineLevel="0" collapsed="false">
      <c r="A21" s="10" t="s">
        <v>1201</v>
      </c>
      <c r="B21" s="10" t="s">
        <v>1206</v>
      </c>
      <c r="C21" s="10" t="s">
        <v>1187</v>
      </c>
      <c r="D21" s="10" t="s">
        <v>1203</v>
      </c>
    </row>
    <row r="22" customFormat="false" ht="15" hidden="false" customHeight="false" outlineLevel="0" collapsed="false">
      <c r="A22" s="10" t="s">
        <v>1201</v>
      </c>
      <c r="B22" s="10" t="s">
        <v>1207</v>
      </c>
      <c r="C22" s="10" t="s">
        <v>1208</v>
      </c>
      <c r="D22" s="10" t="s">
        <v>1203</v>
      </c>
    </row>
    <row r="23" customFormat="false" ht="15" hidden="false" customHeight="false" outlineLevel="0" collapsed="false">
      <c r="A23" s="10" t="s">
        <v>1201</v>
      </c>
      <c r="B23" s="10" t="s">
        <v>1209</v>
      </c>
      <c r="C23" s="10" t="s">
        <v>1210</v>
      </c>
      <c r="D23" s="10" t="s">
        <v>1203</v>
      </c>
    </row>
    <row r="24" customFormat="false" ht="15" hidden="false" customHeight="false" outlineLevel="0" collapsed="false">
      <c r="A24" s="10" t="s">
        <v>1201</v>
      </c>
      <c r="B24" s="10" t="s">
        <v>1211</v>
      </c>
      <c r="C24" s="10" t="s">
        <v>1212</v>
      </c>
      <c r="D24" s="10" t="s">
        <v>1203</v>
      </c>
    </row>
    <row r="25" customFormat="false" ht="15" hidden="false" customHeight="false" outlineLevel="0" collapsed="false">
      <c r="A25" s="10" t="s">
        <v>1201</v>
      </c>
      <c r="B25" s="10" t="s">
        <v>1213</v>
      </c>
      <c r="C25" s="10" t="s">
        <v>1214</v>
      </c>
      <c r="D25" s="10" t="s">
        <v>1203</v>
      </c>
    </row>
    <row r="26" customFormat="false" ht="15" hidden="false" customHeight="false" outlineLevel="0" collapsed="false">
      <c r="A26" s="10" t="s">
        <v>1201</v>
      </c>
      <c r="B26" s="10" t="s">
        <v>1215</v>
      </c>
      <c r="C26" s="10" t="s">
        <v>1216</v>
      </c>
      <c r="D26" s="10" t="s">
        <v>1203</v>
      </c>
    </row>
    <row r="27" customFormat="false" ht="15" hidden="false" customHeight="false" outlineLevel="0" collapsed="false">
      <c r="A27" s="10" t="s">
        <v>1201</v>
      </c>
      <c r="B27" s="10" t="s">
        <v>147</v>
      </c>
      <c r="C27" s="10" t="s">
        <v>1217</v>
      </c>
      <c r="D27" s="10" t="s">
        <v>1203</v>
      </c>
    </row>
    <row r="28" customFormat="false" ht="15" hidden="false" customHeight="false" outlineLevel="0" collapsed="false">
      <c r="A28" s="10" t="s">
        <v>1201</v>
      </c>
      <c r="B28" s="10" t="s">
        <v>1218</v>
      </c>
      <c r="C28" s="10" t="s">
        <v>1219</v>
      </c>
      <c r="D28" s="10" t="s">
        <v>1203</v>
      </c>
    </row>
    <row r="29" customFormat="false" ht="15" hidden="false" customHeight="false" outlineLevel="0" collapsed="false">
      <c r="A29" s="10" t="s">
        <v>1201</v>
      </c>
      <c r="B29" s="10" t="s">
        <v>1220</v>
      </c>
      <c r="C29" s="10" t="s">
        <v>1221</v>
      </c>
      <c r="D29" s="10" t="s">
        <v>1203</v>
      </c>
    </row>
    <row r="30" customFormat="false" ht="15" hidden="false" customHeight="false" outlineLevel="0" collapsed="false">
      <c r="A30" s="10" t="s">
        <v>1201</v>
      </c>
      <c r="B30" s="10" t="s">
        <v>1222</v>
      </c>
      <c r="C30" s="10" t="s">
        <v>1223</v>
      </c>
      <c r="D30" s="10" t="s">
        <v>1203</v>
      </c>
    </row>
    <row r="31" customFormat="false" ht="15" hidden="false" customHeight="false" outlineLevel="0" collapsed="false">
      <c r="A31" s="10" t="s">
        <v>1201</v>
      </c>
      <c r="B31" s="10" t="s">
        <v>1224</v>
      </c>
      <c r="C31" s="10" t="s">
        <v>1225</v>
      </c>
      <c r="D31" s="10" t="s">
        <v>1203</v>
      </c>
    </row>
    <row r="32" customFormat="false" ht="15" hidden="false" customHeight="false" outlineLevel="0" collapsed="false">
      <c r="A32" s="10" t="s">
        <v>1201</v>
      </c>
      <c r="B32" s="10" t="s">
        <v>1226</v>
      </c>
      <c r="C32" s="10" t="s">
        <v>1227</v>
      </c>
      <c r="D32" s="10" t="s">
        <v>1203</v>
      </c>
    </row>
    <row r="33" customFormat="false" ht="15" hidden="false" customHeight="false" outlineLevel="0" collapsed="false">
      <c r="A33" s="10" t="s">
        <v>1201</v>
      </c>
      <c r="B33" s="10" t="s">
        <v>1228</v>
      </c>
      <c r="C33" s="10" t="s">
        <v>1229</v>
      </c>
      <c r="D33" s="10" t="s">
        <v>1203</v>
      </c>
    </row>
    <row r="34" customFormat="false" ht="15" hidden="false" customHeight="false" outlineLevel="0" collapsed="false">
      <c r="A34" s="10" t="s">
        <v>1201</v>
      </c>
      <c r="B34" s="10" t="s">
        <v>1230</v>
      </c>
      <c r="C34" s="10" t="s">
        <v>1231</v>
      </c>
      <c r="D34" s="10" t="s">
        <v>1203</v>
      </c>
    </row>
    <row r="35" customFormat="false" ht="15" hidden="false" customHeight="false" outlineLevel="0" collapsed="false">
      <c r="A35" s="10" t="s">
        <v>1201</v>
      </c>
      <c r="B35" s="10" t="s">
        <v>1232</v>
      </c>
      <c r="C35" s="10" t="s">
        <v>1233</v>
      </c>
      <c r="D35" s="10" t="s">
        <v>1203</v>
      </c>
    </row>
    <row r="36" customFormat="false" ht="15" hidden="false" customHeight="false" outlineLevel="0" collapsed="false">
      <c r="A36" s="10" t="s">
        <v>1201</v>
      </c>
      <c r="B36" s="10" t="s">
        <v>1234</v>
      </c>
      <c r="C36" s="10" t="s">
        <v>1235</v>
      </c>
      <c r="D36" s="10" t="s">
        <v>1203</v>
      </c>
    </row>
    <row r="37" customFormat="false" ht="15" hidden="false" customHeight="false" outlineLevel="0" collapsed="false">
      <c r="A37" s="10" t="s">
        <v>1201</v>
      </c>
      <c r="B37" s="10" t="s">
        <v>1236</v>
      </c>
      <c r="C37" s="10" t="s">
        <v>1237</v>
      </c>
      <c r="D37" s="10" t="s">
        <v>1203</v>
      </c>
    </row>
    <row r="38" customFormat="false" ht="15" hidden="false" customHeight="false" outlineLevel="0" collapsed="false">
      <c r="A38" s="10" t="s">
        <v>1201</v>
      </c>
      <c r="B38" s="10" t="s">
        <v>1238</v>
      </c>
      <c r="C38" s="10" t="s">
        <v>1239</v>
      </c>
      <c r="D38" s="10" t="s">
        <v>1203</v>
      </c>
    </row>
    <row r="39" customFormat="false" ht="15" hidden="false" customHeight="false" outlineLevel="0" collapsed="false">
      <c r="A39" s="10" t="s">
        <v>1201</v>
      </c>
      <c r="B39" s="10" t="s">
        <v>1240</v>
      </c>
      <c r="C39" s="10" t="s">
        <v>1241</v>
      </c>
      <c r="D39" s="10" t="s">
        <v>1203</v>
      </c>
    </row>
    <row r="40" customFormat="false" ht="15" hidden="false" customHeight="false" outlineLevel="0" collapsed="false">
      <c r="A40" s="10" t="s">
        <v>1201</v>
      </c>
      <c r="B40" s="10" t="s">
        <v>1242</v>
      </c>
      <c r="C40" s="10" t="s">
        <v>1243</v>
      </c>
      <c r="D40" s="10" t="s">
        <v>1203</v>
      </c>
    </row>
    <row r="41" customFormat="false" ht="15" hidden="false" customHeight="false" outlineLevel="0" collapsed="false">
      <c r="A41" s="10" t="s">
        <v>1201</v>
      </c>
      <c r="B41" s="10" t="s">
        <v>1244</v>
      </c>
      <c r="C41" s="10" t="s">
        <v>1245</v>
      </c>
      <c r="D41" s="10" t="s">
        <v>1203</v>
      </c>
    </row>
    <row r="42" customFormat="false" ht="15" hidden="false" customHeight="false" outlineLevel="0" collapsed="false">
      <c r="A42" s="10" t="s">
        <v>1201</v>
      </c>
      <c r="B42" s="10" t="s">
        <v>1246</v>
      </c>
      <c r="C42" s="10" t="s">
        <v>1247</v>
      </c>
      <c r="D42" s="10" t="s">
        <v>1203</v>
      </c>
    </row>
    <row r="43" customFormat="false" ht="15" hidden="false" customHeight="false" outlineLevel="0" collapsed="false">
      <c r="A43" s="10" t="s">
        <v>1201</v>
      </c>
      <c r="B43" s="10" t="s">
        <v>1248</v>
      </c>
      <c r="C43" s="10" t="s">
        <v>1193</v>
      </c>
      <c r="D43" s="10" t="s">
        <v>1203</v>
      </c>
    </row>
  </sheetData>
  <autoFilter ref="A1:D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30" hidden="false" customHeight="true" outlineLevel="0" collapsed="false">
      <c r="A1" s="9" t="s">
        <v>1249</v>
      </c>
      <c r="B1" s="9" t="s">
        <v>46</v>
      </c>
      <c r="C1" s="9" t="s">
        <v>1250</v>
      </c>
      <c r="D1" s="9" t="s">
        <v>1251</v>
      </c>
      <c r="E1" s="9" t="s">
        <v>3</v>
      </c>
      <c r="F1" s="9" t="s">
        <v>1252</v>
      </c>
      <c r="G1" s="9" t="s">
        <v>1253</v>
      </c>
      <c r="H1" s="9" t="s">
        <v>1254</v>
      </c>
    </row>
    <row r="2" customFormat="false" ht="23.85" hidden="false" customHeight="false" outlineLevel="0" collapsed="false">
      <c r="A2" s="10" t="s">
        <v>100</v>
      </c>
      <c r="B2" s="10" t="s">
        <v>1255</v>
      </c>
      <c r="C2" s="10" t="s">
        <v>1256</v>
      </c>
      <c r="D2" s="10" t="s">
        <v>1257</v>
      </c>
      <c r="E2" s="10" t="s">
        <v>1258</v>
      </c>
      <c r="F2" s="10" t="n">
        <v>5</v>
      </c>
      <c r="G2" s="10" t="n">
        <v>8</v>
      </c>
      <c r="H2" s="10" t="str">
        <f aca="false">IF(F2=0,"No manual case",IF(G2=0,"Manual only","Manual + automated"))</f>
        <v>Manual + automated</v>
      </c>
    </row>
    <row r="3" customFormat="false" ht="23.85" hidden="false" customHeight="false" outlineLevel="0" collapsed="false">
      <c r="A3" s="10" t="s">
        <v>94</v>
      </c>
      <c r="B3" s="10" t="s">
        <v>1255</v>
      </c>
      <c r="C3" s="10" t="s">
        <v>1259</v>
      </c>
      <c r="D3" s="10" t="s">
        <v>1257</v>
      </c>
      <c r="E3" s="10" t="s">
        <v>1260</v>
      </c>
      <c r="F3" s="10" t="n">
        <v>3</v>
      </c>
      <c r="G3" s="10" t="n">
        <v>4</v>
      </c>
      <c r="H3" s="10" t="str">
        <f aca="false">IF(F3=0,"No manual case",IF(G3=0,"Manual only","Manual + automated"))</f>
        <v>Manual + automated</v>
      </c>
    </row>
    <row r="4" customFormat="false" ht="23.85" hidden="false" customHeight="false" outlineLevel="0" collapsed="false">
      <c r="A4" s="10" t="s">
        <v>136</v>
      </c>
      <c r="B4" s="10" t="s">
        <v>1255</v>
      </c>
      <c r="C4" s="10" t="s">
        <v>1261</v>
      </c>
      <c r="D4" s="10" t="s">
        <v>1257</v>
      </c>
      <c r="E4" s="10" t="s">
        <v>1262</v>
      </c>
      <c r="F4" s="10" t="n">
        <v>3</v>
      </c>
      <c r="G4" s="10" t="n">
        <v>3</v>
      </c>
      <c r="H4" s="10" t="str">
        <f aca="false">IF(F4=0,"No manual case",IF(G4=0,"Manual only","Manual + automated"))</f>
        <v>Manual + automated</v>
      </c>
    </row>
    <row r="5" customFormat="false" ht="23.85" hidden="false" customHeight="false" outlineLevel="0" collapsed="false">
      <c r="A5" s="10" t="s">
        <v>143</v>
      </c>
      <c r="B5" s="10" t="s">
        <v>1255</v>
      </c>
      <c r="C5" s="10" t="s">
        <v>1263</v>
      </c>
      <c r="D5" s="10" t="s">
        <v>1257</v>
      </c>
      <c r="E5" s="10" t="s">
        <v>1264</v>
      </c>
      <c r="F5" s="10" t="n">
        <v>3</v>
      </c>
      <c r="G5" s="10" t="n">
        <v>6</v>
      </c>
      <c r="H5" s="10" t="str">
        <f aca="false">IF(F5=0,"No manual case",IF(G5=0,"Manual only","Manual + automated"))</f>
        <v>Manual + automated</v>
      </c>
    </row>
    <row r="6" customFormat="false" ht="15" hidden="false" customHeight="false" outlineLevel="0" collapsed="false">
      <c r="A6" s="10" t="s">
        <v>518</v>
      </c>
      <c r="B6" s="10" t="s">
        <v>1255</v>
      </c>
      <c r="C6" s="10" t="s">
        <v>1265</v>
      </c>
      <c r="D6" s="10" t="s">
        <v>1257</v>
      </c>
      <c r="E6" s="10" t="s">
        <v>1266</v>
      </c>
      <c r="F6" s="10" t="n">
        <v>2</v>
      </c>
      <c r="G6" s="10" t="n">
        <v>4</v>
      </c>
      <c r="H6" s="10" t="str">
        <f aca="false">IF(F6=0,"No manual case",IF(G6=0,"Manual only","Manual + automated"))</f>
        <v>Manual + automated</v>
      </c>
    </row>
    <row r="7" customFormat="false" ht="15" hidden="false" customHeight="false" outlineLevel="0" collapsed="false">
      <c r="A7" s="10" t="s">
        <v>186</v>
      </c>
      <c r="B7" s="10" t="s">
        <v>1255</v>
      </c>
      <c r="C7" s="10" t="s">
        <v>1267</v>
      </c>
      <c r="D7" s="10" t="s">
        <v>1257</v>
      </c>
      <c r="E7" s="10" t="s">
        <v>184</v>
      </c>
      <c r="F7" s="10" t="n">
        <v>1</v>
      </c>
      <c r="G7" s="10" t="n">
        <v>1</v>
      </c>
      <c r="H7" s="10" t="str">
        <f aca="false">IF(F7=0,"No manual case",IF(G7=0,"Manual only","Manual + automated"))</f>
        <v>Manual + automated</v>
      </c>
    </row>
    <row r="8" customFormat="false" ht="15" hidden="false" customHeight="false" outlineLevel="0" collapsed="false">
      <c r="A8" s="10" t="s">
        <v>198</v>
      </c>
      <c r="B8" s="10" t="s">
        <v>1255</v>
      </c>
      <c r="C8" s="10" t="s">
        <v>1268</v>
      </c>
      <c r="D8" s="10" t="s">
        <v>1257</v>
      </c>
      <c r="E8" s="10" t="s">
        <v>196</v>
      </c>
      <c r="F8" s="10" t="n">
        <v>1</v>
      </c>
      <c r="G8" s="10" t="n">
        <v>5</v>
      </c>
      <c r="H8" s="10" t="str">
        <f aca="false">IF(F8=0,"No manual case",IF(G8=0,"Manual only","Manual + automated"))</f>
        <v>Manual + automated</v>
      </c>
    </row>
    <row r="9" customFormat="false" ht="23.85" hidden="false" customHeight="false" outlineLevel="0" collapsed="false">
      <c r="A9" s="10" t="s">
        <v>1269</v>
      </c>
      <c r="B9" s="10" t="s">
        <v>1255</v>
      </c>
      <c r="C9" s="10" t="s">
        <v>1270</v>
      </c>
      <c r="D9" s="10" t="s">
        <v>1271</v>
      </c>
      <c r="E9" s="10"/>
      <c r="F9" s="10" t="n">
        <v>0</v>
      </c>
      <c r="G9" s="10" t="n">
        <v>0</v>
      </c>
      <c r="H9" s="10" t="str">
        <f aca="false">IF(F9=0,"No manual case",IF(G9=0,"Manual only","Manual + automated"))</f>
        <v>No manual case</v>
      </c>
    </row>
    <row r="10" customFormat="false" ht="35.05" hidden="false" customHeight="false" outlineLevel="0" collapsed="false">
      <c r="A10" s="10" t="s">
        <v>233</v>
      </c>
      <c r="B10" s="10" t="s">
        <v>1255</v>
      </c>
      <c r="C10" s="10" t="s">
        <v>1272</v>
      </c>
      <c r="D10" s="10" t="s">
        <v>1273</v>
      </c>
      <c r="E10" s="10" t="s">
        <v>231</v>
      </c>
      <c r="F10" s="10" t="n">
        <v>1</v>
      </c>
      <c r="G10" s="10" t="n">
        <v>2</v>
      </c>
      <c r="H10" s="10" t="str">
        <f aca="false">IF(F10=0,"No manual case",IF(G10=0,"Manual only","Manual + automated"))</f>
        <v>Manual + automated</v>
      </c>
    </row>
    <row r="11" customFormat="false" ht="23.85" hidden="false" customHeight="false" outlineLevel="0" collapsed="false">
      <c r="A11" s="10" t="s">
        <v>1274</v>
      </c>
      <c r="B11" s="10" t="s">
        <v>1275</v>
      </c>
      <c r="C11" s="10" t="s">
        <v>1276</v>
      </c>
      <c r="D11" s="10" t="s">
        <v>1257</v>
      </c>
      <c r="E11" s="10"/>
      <c r="F11" s="10" t="n">
        <v>0</v>
      </c>
      <c r="G11" s="10" t="n">
        <v>0</v>
      </c>
      <c r="H11" s="10" t="str">
        <f aca="false">IF(F11=0,"No manual case",IF(G11=0,"Manual only","Manual + automated"))</f>
        <v>No manual case</v>
      </c>
    </row>
    <row r="12" customFormat="false" ht="23.85" hidden="false" customHeight="false" outlineLevel="0" collapsed="false">
      <c r="A12" s="10" t="s">
        <v>255</v>
      </c>
      <c r="B12" s="10" t="s">
        <v>1275</v>
      </c>
      <c r="C12" s="10" t="s">
        <v>1277</v>
      </c>
      <c r="D12" s="10" t="s">
        <v>1257</v>
      </c>
      <c r="E12" s="10" t="s">
        <v>1278</v>
      </c>
      <c r="F12" s="10" t="n">
        <v>4</v>
      </c>
      <c r="G12" s="10" t="n">
        <v>7</v>
      </c>
      <c r="H12" s="10" t="str">
        <f aca="false">IF(F12=0,"No manual case",IF(G12=0,"Manual only","Manual + automated"))</f>
        <v>Manual + automated</v>
      </c>
    </row>
    <row r="13" customFormat="false" ht="15" hidden="false" customHeight="false" outlineLevel="0" collapsed="false">
      <c r="A13" s="10" t="s">
        <v>292</v>
      </c>
      <c r="B13" s="10" t="s">
        <v>1275</v>
      </c>
      <c r="C13" s="10" t="s">
        <v>1279</v>
      </c>
      <c r="D13" s="10" t="s">
        <v>1257</v>
      </c>
      <c r="E13" s="10" t="s">
        <v>1280</v>
      </c>
      <c r="F13" s="10" t="n">
        <v>2</v>
      </c>
      <c r="G13" s="10" t="n">
        <v>3</v>
      </c>
      <c r="H13" s="10" t="str">
        <f aca="false">IF(F13=0,"No manual case",IF(G13=0,"Manual only","Manual + automated"))</f>
        <v>Manual + automated</v>
      </c>
    </row>
    <row r="14" customFormat="false" ht="23.85" hidden="false" customHeight="false" outlineLevel="0" collapsed="false">
      <c r="A14" s="10" t="s">
        <v>530</v>
      </c>
      <c r="B14" s="10" t="s">
        <v>1281</v>
      </c>
      <c r="C14" s="10" t="s">
        <v>1282</v>
      </c>
      <c r="D14" s="10" t="s">
        <v>1257</v>
      </c>
      <c r="E14" s="10" t="s">
        <v>528</v>
      </c>
      <c r="F14" s="10" t="n">
        <v>1</v>
      </c>
      <c r="G14" s="10" t="n">
        <v>2</v>
      </c>
      <c r="H14" s="10" t="str">
        <f aca="false">IF(F14=0,"No manual case",IF(G14=0,"Manual only","Manual + automated"))</f>
        <v>Manual + automated</v>
      </c>
    </row>
    <row r="15" customFormat="false" ht="23.85" hidden="false" customHeight="false" outlineLevel="0" collapsed="false">
      <c r="A15" s="10" t="s">
        <v>384</v>
      </c>
      <c r="B15" s="10" t="s">
        <v>1281</v>
      </c>
      <c r="C15" s="10" t="s">
        <v>1283</v>
      </c>
      <c r="D15" s="10" t="s">
        <v>1257</v>
      </c>
      <c r="E15" s="10" t="s">
        <v>1284</v>
      </c>
      <c r="F15" s="10" t="n">
        <v>2</v>
      </c>
      <c r="G15" s="10" t="n">
        <v>2</v>
      </c>
      <c r="H15" s="10" t="str">
        <f aca="false">IF(F15=0,"No manual case",IF(G15=0,"Manual only","Manual + automated"))</f>
        <v>Manual + automated</v>
      </c>
    </row>
    <row r="16" customFormat="false" ht="23.85" hidden="false" customHeight="false" outlineLevel="0" collapsed="false">
      <c r="A16" s="10" t="s">
        <v>217</v>
      </c>
      <c r="B16" s="10" t="s">
        <v>1281</v>
      </c>
      <c r="C16" s="10" t="s">
        <v>1285</v>
      </c>
      <c r="D16" s="10" t="s">
        <v>1286</v>
      </c>
      <c r="E16" s="10" t="s">
        <v>1287</v>
      </c>
      <c r="F16" s="10" t="n">
        <v>4</v>
      </c>
      <c r="G16" s="10" t="n">
        <v>7</v>
      </c>
      <c r="H16" s="10" t="str">
        <f aca="false">IF(F16=0,"No manual case",IF(G16=0,"Manual only","Manual + automated"))</f>
        <v>Manual + automated</v>
      </c>
    </row>
    <row r="17" customFormat="false" ht="23.85" hidden="false" customHeight="false" outlineLevel="0" collapsed="false">
      <c r="A17" s="10" t="s">
        <v>335</v>
      </c>
      <c r="B17" s="10" t="s">
        <v>1288</v>
      </c>
      <c r="C17" s="10" t="s">
        <v>1289</v>
      </c>
      <c r="D17" s="10" t="s">
        <v>1257</v>
      </c>
      <c r="E17" s="10" t="s">
        <v>1290</v>
      </c>
      <c r="F17" s="10" t="n">
        <v>3</v>
      </c>
      <c r="G17" s="10" t="n">
        <v>6</v>
      </c>
      <c r="H17" s="10" t="str">
        <f aca="false">IF(F17=0,"No manual case",IF(G17=0,"Manual only","Manual + automated"))</f>
        <v>Manual + automated</v>
      </c>
    </row>
    <row r="18" customFormat="false" ht="23.85" hidden="false" customHeight="false" outlineLevel="0" collapsed="false">
      <c r="A18" s="10" t="s">
        <v>341</v>
      </c>
      <c r="B18" s="10" t="s">
        <v>1288</v>
      </c>
      <c r="C18" s="10" t="s">
        <v>1291</v>
      </c>
      <c r="D18" s="10" t="s">
        <v>1257</v>
      </c>
      <c r="E18" s="10" t="s">
        <v>1292</v>
      </c>
      <c r="F18" s="10" t="n">
        <v>3</v>
      </c>
      <c r="G18" s="10" t="n">
        <v>3</v>
      </c>
      <c r="H18" s="10" t="str">
        <f aca="false">IF(F18=0,"No manual case",IF(G18=0,"Manual only","Manual + automated"))</f>
        <v>Manual + automated</v>
      </c>
    </row>
    <row r="19" customFormat="false" ht="23.85" hidden="false" customHeight="false" outlineLevel="0" collapsed="false">
      <c r="A19" s="10" t="s">
        <v>417</v>
      </c>
      <c r="B19" s="10" t="s">
        <v>1288</v>
      </c>
      <c r="C19" s="10" t="s">
        <v>1293</v>
      </c>
      <c r="D19" s="10" t="s">
        <v>1257</v>
      </c>
      <c r="E19" s="10" t="s">
        <v>415</v>
      </c>
      <c r="F19" s="10" t="n">
        <v>1</v>
      </c>
      <c r="G19" s="10" t="n">
        <v>2</v>
      </c>
      <c r="H19" s="10" t="str">
        <f aca="false">IF(F19=0,"No manual case",IF(G19=0,"Manual only","Manual + automated"))</f>
        <v>Manual + automated</v>
      </c>
    </row>
    <row r="20" customFormat="false" ht="23.85" hidden="false" customHeight="false" outlineLevel="0" collapsed="false">
      <c r="A20" s="10" t="s">
        <v>428</v>
      </c>
      <c r="B20" s="10" t="s">
        <v>1288</v>
      </c>
      <c r="C20" s="10" t="s">
        <v>1294</v>
      </c>
      <c r="D20" s="10" t="s">
        <v>1257</v>
      </c>
      <c r="E20" s="10" t="s">
        <v>1295</v>
      </c>
      <c r="F20" s="10" t="n">
        <v>3</v>
      </c>
      <c r="G20" s="10" t="n">
        <v>4</v>
      </c>
      <c r="H20" s="10" t="str">
        <f aca="false">IF(F20=0,"No manual case",IF(G20=0,"Manual only","Manual + automated"))</f>
        <v>Manual + automated</v>
      </c>
    </row>
    <row r="21" customFormat="false" ht="15" hidden="false" customHeight="false" outlineLevel="0" collapsed="false">
      <c r="A21" s="10" t="s">
        <v>1296</v>
      </c>
      <c r="B21" s="10" t="s">
        <v>1288</v>
      </c>
      <c r="C21" s="10" t="s">
        <v>1297</v>
      </c>
      <c r="D21" s="10" t="s">
        <v>1257</v>
      </c>
      <c r="E21" s="10" t="s">
        <v>1298</v>
      </c>
      <c r="F21" s="10" t="n">
        <v>2</v>
      </c>
      <c r="G21" s="10" t="n">
        <v>3</v>
      </c>
      <c r="H21" s="10" t="str">
        <f aca="false">IF(F21=0,"No manual case",IF(G21=0,"Manual only","Manual + automated"))</f>
        <v>Manual + automated</v>
      </c>
    </row>
    <row r="22" customFormat="false" ht="23.85" hidden="false" customHeight="false" outlineLevel="0" collapsed="false">
      <c r="A22" s="10" t="s">
        <v>469</v>
      </c>
      <c r="B22" s="10" t="s">
        <v>1288</v>
      </c>
      <c r="C22" s="10" t="s">
        <v>1299</v>
      </c>
      <c r="D22" s="10" t="s">
        <v>1257</v>
      </c>
      <c r="E22" s="10" t="s">
        <v>1300</v>
      </c>
      <c r="F22" s="10" t="n">
        <v>2</v>
      </c>
      <c r="G22" s="10" t="n">
        <v>3</v>
      </c>
      <c r="H22" s="10" t="str">
        <f aca="false">IF(F22=0,"No manual case",IF(G22=0,"Manual only","Manual + automated"))</f>
        <v>Manual + automated</v>
      </c>
    </row>
    <row r="23" customFormat="false" ht="15" hidden="false" customHeight="false" outlineLevel="0" collapsed="false">
      <c r="A23" s="10" t="s">
        <v>476</v>
      </c>
      <c r="B23" s="10" t="s">
        <v>1288</v>
      </c>
      <c r="C23" s="10" t="s">
        <v>1301</v>
      </c>
      <c r="D23" s="10" t="s">
        <v>1257</v>
      </c>
      <c r="E23" s="10" t="s">
        <v>474</v>
      </c>
      <c r="F23" s="10" t="n">
        <v>1</v>
      </c>
      <c r="G23" s="10" t="n">
        <v>2</v>
      </c>
      <c r="H23" s="10" t="str">
        <f aca="false">IF(F23=0,"No manual case",IF(G23=0,"Manual only","Manual + automated"))</f>
        <v>Manual + automated</v>
      </c>
    </row>
    <row r="24" customFormat="false" ht="15" hidden="false" customHeight="false" outlineLevel="0" collapsed="false">
      <c r="A24" s="10" t="s">
        <v>1302</v>
      </c>
      <c r="B24" s="10" t="s">
        <v>1288</v>
      </c>
      <c r="C24" s="10" t="s">
        <v>1303</v>
      </c>
      <c r="D24" s="10" t="s">
        <v>1304</v>
      </c>
      <c r="E24" s="10"/>
      <c r="F24" s="10" t="n">
        <v>0</v>
      </c>
      <c r="G24" s="10" t="n">
        <v>0</v>
      </c>
      <c r="H24" s="10" t="str">
        <f aca="false">IF(F24=0,"No manual case",IF(G24=0,"Manual only","Manual + automated"))</f>
        <v>No manual case</v>
      </c>
    </row>
    <row r="25" customFormat="false" ht="23.85" hidden="false" customHeight="false" outlineLevel="0" collapsed="false">
      <c r="A25" s="10" t="s">
        <v>1305</v>
      </c>
      <c r="B25" s="10" t="s">
        <v>1306</v>
      </c>
      <c r="C25" s="10" t="s">
        <v>1307</v>
      </c>
      <c r="D25" s="10" t="s">
        <v>1304</v>
      </c>
      <c r="E25" s="10"/>
      <c r="F25" s="10" t="n">
        <v>0</v>
      </c>
      <c r="G25" s="10" t="n">
        <v>0</v>
      </c>
      <c r="H25" s="10" t="str">
        <f aca="false">IF(F25=0,"No manual case",IF(G25=0,"Manual only","Manual + automated"))</f>
        <v>No manual case</v>
      </c>
    </row>
    <row r="26" customFormat="false" ht="15" hidden="false" customHeight="false" outlineLevel="0" collapsed="false">
      <c r="A26" s="10" t="s">
        <v>1308</v>
      </c>
      <c r="B26" s="10" t="s">
        <v>1306</v>
      </c>
      <c r="C26" s="10" t="s">
        <v>1309</v>
      </c>
      <c r="D26" s="10" t="s">
        <v>1304</v>
      </c>
      <c r="E26" s="10"/>
      <c r="F26" s="10" t="n">
        <v>0</v>
      </c>
      <c r="G26" s="10" t="n">
        <v>0</v>
      </c>
      <c r="H26" s="10" t="str">
        <f aca="false">IF(F26=0,"No manual case",IF(G26=0,"Manual only","Manual + automated"))</f>
        <v>No manual case</v>
      </c>
    </row>
    <row r="27" customFormat="false" ht="15" hidden="false" customHeight="false" outlineLevel="0" collapsed="false">
      <c r="A27" s="10" t="s">
        <v>1310</v>
      </c>
      <c r="B27" s="10" t="s">
        <v>1306</v>
      </c>
      <c r="C27" s="10" t="s">
        <v>1311</v>
      </c>
      <c r="D27" s="10" t="s">
        <v>1304</v>
      </c>
      <c r="E27" s="10"/>
      <c r="F27" s="10" t="n">
        <v>0</v>
      </c>
      <c r="G27" s="10" t="n">
        <v>0</v>
      </c>
      <c r="H27" s="10" t="str">
        <f aca="false">IF(F27=0,"No manual case",IF(G27=0,"Manual only","Manual + automated"))</f>
        <v>No manual case</v>
      </c>
    </row>
    <row r="28" customFormat="false" ht="23.85" hidden="false" customHeight="false" outlineLevel="0" collapsed="false">
      <c r="A28" s="10" t="s">
        <v>1312</v>
      </c>
      <c r="B28" s="10" t="s">
        <v>1313</v>
      </c>
      <c r="C28" s="10" t="s">
        <v>1314</v>
      </c>
      <c r="D28" s="10" t="s">
        <v>1304</v>
      </c>
      <c r="E28" s="10"/>
      <c r="F28" s="10" t="n">
        <v>0</v>
      </c>
      <c r="G28" s="10" t="n">
        <v>0</v>
      </c>
      <c r="H28" s="10" t="str">
        <f aca="false">IF(F28=0,"No manual case",IF(G28=0,"Manual only","Manual + automated"))</f>
        <v>No manual case</v>
      </c>
    </row>
    <row r="29" customFormat="false" ht="15" hidden="false" customHeight="false" outlineLevel="0" collapsed="false">
      <c r="A29" s="10" t="s">
        <v>1315</v>
      </c>
      <c r="B29" s="10" t="s">
        <v>1313</v>
      </c>
      <c r="C29" s="10" t="s">
        <v>1316</v>
      </c>
      <c r="D29" s="10" t="s">
        <v>1304</v>
      </c>
      <c r="E29" s="10"/>
      <c r="F29" s="10" t="n">
        <v>0</v>
      </c>
      <c r="G29" s="10" t="n">
        <v>0</v>
      </c>
      <c r="H29" s="10" t="str">
        <f aca="false">IF(F29=0,"No manual case",IF(G29=0,"Manual only","Manual + automated"))</f>
        <v>No manual case</v>
      </c>
    </row>
    <row r="30" customFormat="false" ht="23.85" hidden="false" customHeight="false" outlineLevel="0" collapsed="false">
      <c r="A30" s="10" t="s">
        <v>1317</v>
      </c>
      <c r="B30" s="10" t="s">
        <v>1318</v>
      </c>
      <c r="C30" s="10" t="s">
        <v>1319</v>
      </c>
      <c r="D30" s="10" t="s">
        <v>1304</v>
      </c>
      <c r="E30" s="10"/>
      <c r="F30" s="10" t="n">
        <v>0</v>
      </c>
      <c r="G30" s="10" t="n">
        <v>0</v>
      </c>
      <c r="H30" s="10" t="str">
        <f aca="false">IF(F30=0,"No manual case",IF(G30=0,"Manual only","Manual + automated"))</f>
        <v>No manual case</v>
      </c>
    </row>
    <row r="31" customFormat="false" ht="23.85" hidden="false" customHeight="false" outlineLevel="0" collapsed="false">
      <c r="A31" s="10" t="s">
        <v>524</v>
      </c>
      <c r="B31" s="10" t="s">
        <v>1320</v>
      </c>
      <c r="C31" s="10" t="s">
        <v>1321</v>
      </c>
      <c r="D31" s="10" t="s">
        <v>1322</v>
      </c>
      <c r="E31" s="10" t="s">
        <v>522</v>
      </c>
      <c r="F31" s="10" t="n">
        <v>1</v>
      </c>
      <c r="G31" s="10" t="n">
        <v>1</v>
      </c>
      <c r="H31" s="10" t="str">
        <f aca="false">IF(F31=0,"No manual case",IF(G31=0,"Manual only","Manual + automated"))</f>
        <v>Manual + automated</v>
      </c>
    </row>
    <row r="32" customFormat="false" ht="23.85" hidden="false" customHeight="false" outlineLevel="0" collapsed="false">
      <c r="A32" s="10" t="s">
        <v>317</v>
      </c>
      <c r="B32" s="10" t="s">
        <v>1323</v>
      </c>
      <c r="C32" s="10" t="s">
        <v>1324</v>
      </c>
      <c r="D32" s="10" t="s">
        <v>1325</v>
      </c>
      <c r="E32" s="10" t="s">
        <v>1326</v>
      </c>
      <c r="F32" s="10" t="n">
        <v>2</v>
      </c>
      <c r="G32" s="10" t="n">
        <v>4</v>
      </c>
      <c r="H32" s="10" t="str">
        <f aca="false">IF(F32=0,"No manual case",IF(G32=0,"Manual only","Manual + automated"))</f>
        <v>Manual + automated</v>
      </c>
    </row>
    <row r="33" customFormat="false" ht="23.85" hidden="false" customHeight="false" outlineLevel="0" collapsed="false">
      <c r="A33" s="10" t="s">
        <v>80</v>
      </c>
      <c r="B33" s="10" t="s">
        <v>1323</v>
      </c>
      <c r="C33" s="10" t="s">
        <v>1327</v>
      </c>
      <c r="D33" s="10" t="s">
        <v>1325</v>
      </c>
      <c r="E33" s="10" t="s">
        <v>1328</v>
      </c>
      <c r="F33" s="10" t="n">
        <v>2</v>
      </c>
      <c r="G33" s="10" t="n">
        <v>3</v>
      </c>
      <c r="H33" s="10" t="str">
        <f aca="false">IF(F33=0,"No manual case",IF(G33=0,"Manual only","Manual + automated"))</f>
        <v>Manual + automated</v>
      </c>
    </row>
    <row r="34" customFormat="false" ht="23.85" hidden="false" customHeight="false" outlineLevel="0" collapsed="false">
      <c r="A34" s="10" t="s">
        <v>512</v>
      </c>
      <c r="B34" s="10" t="s">
        <v>1323</v>
      </c>
      <c r="C34" s="10" t="s">
        <v>1329</v>
      </c>
      <c r="D34" s="10" t="s">
        <v>1325</v>
      </c>
      <c r="E34" s="10" t="s">
        <v>510</v>
      </c>
      <c r="F34" s="10" t="n">
        <v>1</v>
      </c>
      <c r="G34" s="10" t="n">
        <v>1</v>
      </c>
      <c r="H34" s="10" t="str">
        <f aca="false">IF(F34=0,"No manual case",IF(G34=0,"Manual only","Manual + automated"))</f>
        <v>Manual + automated</v>
      </c>
    </row>
    <row r="35" customFormat="false" ht="23.85" hidden="false" customHeight="false" outlineLevel="0" collapsed="false">
      <c r="A35" s="10" t="s">
        <v>555</v>
      </c>
      <c r="B35" s="10" t="s">
        <v>1323</v>
      </c>
      <c r="C35" s="10" t="s">
        <v>1330</v>
      </c>
      <c r="D35" s="10" t="s">
        <v>1325</v>
      </c>
      <c r="E35" s="10" t="s">
        <v>1331</v>
      </c>
      <c r="F35" s="10" t="n">
        <v>3</v>
      </c>
      <c r="G35" s="10" t="n">
        <v>5</v>
      </c>
      <c r="H35" s="10" t="str">
        <f aca="false">IF(F35=0,"No manual case",IF(G35=0,"Manual only","Manual + automated"))</f>
        <v>Manual + automated</v>
      </c>
    </row>
    <row r="36" customFormat="false" ht="23.85" hidden="false" customHeight="false" outlineLevel="0" collapsed="false">
      <c r="A36" s="10" t="s">
        <v>369</v>
      </c>
      <c r="B36" s="10" t="s">
        <v>1323</v>
      </c>
      <c r="C36" s="10" t="s">
        <v>1332</v>
      </c>
      <c r="D36" s="10" t="s">
        <v>1325</v>
      </c>
      <c r="E36" s="10" t="s">
        <v>1333</v>
      </c>
      <c r="F36" s="10" t="n">
        <v>4</v>
      </c>
      <c r="G36" s="10" t="n">
        <v>6</v>
      </c>
      <c r="H36" s="10" t="str">
        <f aca="false">IF(F36=0,"No manual case",IF(G36=0,"Manual only","Manual + automated"))</f>
        <v>Manual + automated</v>
      </c>
    </row>
    <row r="37" customFormat="false" ht="23.85" hidden="false" customHeight="false" outlineLevel="0" collapsed="false">
      <c r="A37" s="10" t="s">
        <v>550</v>
      </c>
      <c r="B37" s="10" t="s">
        <v>1334</v>
      </c>
      <c r="C37" s="10" t="s">
        <v>1335</v>
      </c>
      <c r="D37" s="10" t="s">
        <v>1325</v>
      </c>
      <c r="E37" s="10" t="s">
        <v>548</v>
      </c>
      <c r="F37" s="10" t="n">
        <v>1</v>
      </c>
      <c r="G37" s="10" t="n">
        <v>0</v>
      </c>
      <c r="H37" s="10" t="str">
        <f aca="false">IF(F37=0,"No manual case",IF(G37=0,"Manual only","Manual + automated"))</f>
        <v>Manual only</v>
      </c>
    </row>
    <row r="38" customFormat="false" ht="15" hidden="false" customHeight="false" outlineLevel="0" collapsed="false">
      <c r="A38" s="10" t="s">
        <v>1336</v>
      </c>
      <c r="B38" s="10" t="s">
        <v>1334</v>
      </c>
      <c r="C38" s="10" t="s">
        <v>1337</v>
      </c>
      <c r="D38" s="10" t="s">
        <v>1325</v>
      </c>
      <c r="E38" s="10"/>
      <c r="F38" s="10" t="n">
        <v>0</v>
      </c>
      <c r="G38" s="10" t="n">
        <v>0</v>
      </c>
      <c r="H38" s="10" t="str">
        <f aca="false">IF(F38=0,"No manual case",IF(G38=0,"Manual only","Manual + automated"))</f>
        <v>No manual case</v>
      </c>
    </row>
    <row r="39" customFormat="false" ht="23.85" hidden="false" customHeight="false" outlineLevel="0" collapsed="false">
      <c r="A39" s="10" t="s">
        <v>1338</v>
      </c>
      <c r="B39" s="10" t="s">
        <v>1339</v>
      </c>
      <c r="C39" s="10" t="s">
        <v>1340</v>
      </c>
      <c r="D39" s="10" t="s">
        <v>1325</v>
      </c>
      <c r="E39" s="10"/>
      <c r="F39" s="10" t="n">
        <v>0</v>
      </c>
      <c r="G39" s="10" t="n">
        <v>0</v>
      </c>
      <c r="H39" s="10" t="str">
        <f aca="false">IF(F39=0,"No manual case",IF(G39=0,"Manual only","Manual + automated"))</f>
        <v>No manual case</v>
      </c>
    </row>
    <row r="40" customFormat="false" ht="23.85" hidden="false" customHeight="false" outlineLevel="0" collapsed="false">
      <c r="A40" s="10" t="s">
        <v>67</v>
      </c>
      <c r="B40" s="10" t="s">
        <v>1341</v>
      </c>
      <c r="C40" s="10" t="s">
        <v>1342</v>
      </c>
      <c r="D40" s="10" t="s">
        <v>1325</v>
      </c>
      <c r="E40" s="10" t="s">
        <v>1343</v>
      </c>
      <c r="F40" s="10" t="n">
        <v>2</v>
      </c>
      <c r="G40" s="10" t="n">
        <v>6</v>
      </c>
      <c r="H40" s="10" t="str">
        <f aca="false">IF(F40=0,"No manual case",IF(G40=0,"Manual only","Manual + automated"))</f>
        <v>Manual + automated</v>
      </c>
    </row>
    <row r="41" customFormat="false" ht="35.05" hidden="false" customHeight="false" outlineLevel="0" collapsed="false">
      <c r="A41" s="10" t="s">
        <v>1344</v>
      </c>
      <c r="B41" s="10" t="s">
        <v>1345</v>
      </c>
      <c r="C41" s="10" t="s">
        <v>1346</v>
      </c>
      <c r="D41" s="10" t="s">
        <v>1325</v>
      </c>
      <c r="E41" s="10"/>
      <c r="F41" s="10" t="n">
        <v>0</v>
      </c>
      <c r="G41" s="10" t="n">
        <v>0</v>
      </c>
      <c r="H41" s="10" t="str">
        <f aca="false">IF(F41=0,"No manual case",IF(G41=0,"Manual only","Manual + automated"))</f>
        <v>No manual case</v>
      </c>
    </row>
    <row r="42" customFormat="false" ht="23.85" hidden="false" customHeight="false" outlineLevel="0" collapsed="false">
      <c r="A42" s="10" t="s">
        <v>1347</v>
      </c>
      <c r="B42" s="10" t="s">
        <v>1339</v>
      </c>
      <c r="C42" s="10" t="s">
        <v>1348</v>
      </c>
      <c r="D42" s="10" t="s">
        <v>1325</v>
      </c>
      <c r="E42" s="10"/>
      <c r="F42" s="10" t="n">
        <v>0</v>
      </c>
      <c r="G42" s="10" t="n">
        <v>0</v>
      </c>
      <c r="H42" s="10" t="str">
        <f aca="false">IF(F42=0,"No manual case",IF(G42=0,"Manual only","Manual + automated"))</f>
        <v>No manual case</v>
      </c>
    </row>
    <row r="43" customFormat="false" ht="23.85" hidden="false" customHeight="false" outlineLevel="0" collapsed="false">
      <c r="A43" s="10" t="s">
        <v>1349</v>
      </c>
      <c r="B43" s="10" t="s">
        <v>1350</v>
      </c>
      <c r="C43" s="10" t="s">
        <v>1351</v>
      </c>
      <c r="D43" s="10" t="s">
        <v>1325</v>
      </c>
      <c r="E43" s="10"/>
      <c r="F43" s="10" t="n">
        <v>0</v>
      </c>
      <c r="G43" s="10" t="n">
        <v>0</v>
      </c>
      <c r="H43" s="10" t="str">
        <f aca="false">IF(F43=0,"No manual case",IF(G43=0,"Manual only","Manual + automated"))</f>
        <v>No manual case</v>
      </c>
    </row>
    <row r="44" customFormat="false" ht="23.85" hidden="false" customHeight="false" outlineLevel="0" collapsed="false">
      <c r="A44" s="10" t="s">
        <v>1352</v>
      </c>
      <c r="B44" s="10" t="s">
        <v>1353</v>
      </c>
      <c r="C44" s="10" t="s">
        <v>1354</v>
      </c>
      <c r="D44" s="10" t="s">
        <v>1325</v>
      </c>
      <c r="E44" s="10"/>
      <c r="F44" s="10" t="n">
        <v>0</v>
      </c>
      <c r="G44" s="10" t="n">
        <v>0</v>
      </c>
      <c r="H44" s="10" t="str">
        <f aca="false">IF(F44=0,"No manual case",IF(G44=0,"Manual only","Manual + automated"))</f>
        <v>No manual case</v>
      </c>
    </row>
    <row r="45" customFormat="false" ht="15" hidden="false" customHeight="false" outlineLevel="0" collapsed="false">
      <c r="A45" s="10" t="s">
        <v>352</v>
      </c>
      <c r="B45" s="10" t="s">
        <v>1355</v>
      </c>
      <c r="C45" s="10" t="s">
        <v>1356</v>
      </c>
      <c r="D45" s="10" t="s">
        <v>1325</v>
      </c>
      <c r="E45" s="10" t="s">
        <v>1357</v>
      </c>
      <c r="F45" s="10" t="n">
        <v>2</v>
      </c>
      <c r="G45" s="10" t="n">
        <v>4</v>
      </c>
      <c r="H45" s="10" t="str">
        <f aca="false">IF(F45=0,"No manual case",IF(G45=0,"Manual only","Manual + automated"))</f>
        <v>Manual + automated</v>
      </c>
    </row>
  </sheetData>
  <autoFilter ref="A1:H45"/>
  <conditionalFormatting sqref="H2:H45">
    <cfRule type="expression" priority="2" aboveAverage="0" equalAverage="0" bottom="0" percent="0" rank="0" text="" dxfId="5">
      <formula>$H2="No manual case"</formula>
    </cfRule>
    <cfRule type="expression" priority="3" aboveAverage="0" equalAverage="0" bottom="0" percent="0" rank="0" text="" dxfId="6">
      <formula>$H2="Manual only"</formula>
    </cfRule>
    <cfRule type="expression" priority="4" aboveAverage="0" equalAverage="0" bottom="0" percent="0" rank="0" text="" dxfId="4">
      <formula>$H2="Manual + automated"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6" min="6" style="0" width="70"/>
  </cols>
  <sheetData>
    <row r="1" customFormat="false" ht="30" hidden="false" customHeight="true" outlineLevel="0" collapsed="false">
      <c r="A1" s="9" t="s">
        <v>1358</v>
      </c>
      <c r="B1" s="9" t="s">
        <v>1359</v>
      </c>
      <c r="C1" s="9" t="s">
        <v>1360</v>
      </c>
      <c r="D1" s="9" t="s">
        <v>1361</v>
      </c>
      <c r="E1" s="9" t="s">
        <v>1362</v>
      </c>
      <c r="F1" s="9" t="s">
        <v>1363</v>
      </c>
    </row>
    <row r="2" customFormat="false" ht="15" hidden="false" customHeight="false" outlineLevel="0" collapsed="false">
      <c r="A2" s="10" t="s">
        <v>1364</v>
      </c>
      <c r="B2" s="10" t="s">
        <v>1365</v>
      </c>
      <c r="C2" s="10" t="s">
        <v>1366</v>
      </c>
      <c r="D2" s="10" t="s">
        <v>1367</v>
      </c>
      <c r="E2" s="10" t="s">
        <v>1368</v>
      </c>
      <c r="F2" s="10" t="s">
        <v>1369</v>
      </c>
    </row>
    <row r="3" customFormat="false" ht="15" hidden="false" customHeight="false" outlineLevel="0" collapsed="false">
      <c r="A3" s="10" t="s">
        <v>1370</v>
      </c>
      <c r="B3" s="10" t="s">
        <v>1371</v>
      </c>
      <c r="C3" s="10" t="s">
        <v>1372</v>
      </c>
      <c r="D3" s="10" t="s">
        <v>1373</v>
      </c>
      <c r="E3" s="10" t="s">
        <v>1374</v>
      </c>
      <c r="F3" s="10" t="s">
        <v>1375</v>
      </c>
    </row>
    <row r="4" customFormat="false" ht="15" hidden="false" customHeight="false" outlineLevel="0" collapsed="false">
      <c r="A4" s="10" t="s">
        <v>1376</v>
      </c>
      <c r="B4" s="10" t="s">
        <v>1377</v>
      </c>
      <c r="C4" s="10" t="s">
        <v>1378</v>
      </c>
      <c r="D4" s="10" t="s">
        <v>1379</v>
      </c>
      <c r="E4" s="10" t="s">
        <v>1380</v>
      </c>
      <c r="F4" s="10" t="s">
        <v>1381</v>
      </c>
    </row>
    <row r="5" customFormat="false" ht="15" hidden="false" customHeight="false" outlineLevel="0" collapsed="false">
      <c r="A5" s="10" t="s">
        <v>1382</v>
      </c>
      <c r="B5" s="10" t="s">
        <v>1383</v>
      </c>
      <c r="C5" s="10" t="s">
        <v>1384</v>
      </c>
      <c r="D5" s="10" t="s">
        <v>1385</v>
      </c>
      <c r="E5" s="10" t="s">
        <v>1386</v>
      </c>
      <c r="F5" s="10" t="s">
        <v>1387</v>
      </c>
    </row>
    <row r="6" customFormat="false" ht="15" hidden="false" customHeight="false" outlineLevel="0" collapsed="false">
      <c r="A6" s="10" t="s">
        <v>1388</v>
      </c>
      <c r="B6" s="10" t="s">
        <v>1389</v>
      </c>
      <c r="C6" s="10" t="s">
        <v>1390</v>
      </c>
      <c r="D6" s="10" t="s">
        <v>1391</v>
      </c>
      <c r="E6" s="10" t="s">
        <v>1392</v>
      </c>
      <c r="F6" s="10" t="s">
        <v>1393</v>
      </c>
    </row>
    <row r="7" customFormat="false" ht="15" hidden="false" customHeight="false" outlineLevel="0" collapsed="false">
      <c r="A7" s="10" t="s">
        <v>1394</v>
      </c>
      <c r="B7" s="10" t="s">
        <v>1395</v>
      </c>
      <c r="C7" s="10" t="s">
        <v>1396</v>
      </c>
      <c r="D7" s="10" t="s">
        <v>1397</v>
      </c>
      <c r="E7" s="10" t="s">
        <v>1398</v>
      </c>
      <c r="F7" s="10" t="s">
        <v>1399</v>
      </c>
    </row>
    <row r="8" customFormat="false" ht="15" hidden="false" customHeight="false" outlineLevel="0" collapsed="false">
      <c r="A8" s="10" t="s">
        <v>1400</v>
      </c>
      <c r="B8" s="10" t="s">
        <v>1401</v>
      </c>
      <c r="C8" s="10" t="s">
        <v>1402</v>
      </c>
      <c r="D8" s="10" t="s">
        <v>1403</v>
      </c>
      <c r="E8" s="10" t="s">
        <v>1404</v>
      </c>
      <c r="F8" s="10" t="s">
        <v>1405</v>
      </c>
    </row>
    <row r="9" customFormat="false" ht="15" hidden="false" customHeight="false" outlineLevel="0" collapsed="false">
      <c r="A9" s="10" t="s">
        <v>1406</v>
      </c>
      <c r="B9" s="10" t="s">
        <v>1407</v>
      </c>
      <c r="C9" s="10" t="s">
        <v>1408</v>
      </c>
      <c r="D9" s="10" t="s">
        <v>1409</v>
      </c>
      <c r="E9" s="10" t="s">
        <v>1410</v>
      </c>
      <c r="F9" s="10" t="s">
        <v>1411</v>
      </c>
    </row>
    <row r="10" customFormat="false" ht="15" hidden="false" customHeight="false" outlineLevel="0" collapsed="false">
      <c r="A10" s="10" t="s">
        <v>1412</v>
      </c>
      <c r="B10" s="10" t="s">
        <v>1413</v>
      </c>
      <c r="C10" s="10" t="s">
        <v>1414</v>
      </c>
      <c r="D10" s="10" t="s">
        <v>1415</v>
      </c>
      <c r="E10" s="10" t="s">
        <v>1416</v>
      </c>
      <c r="F10" s="10" t="s">
        <v>1417</v>
      </c>
    </row>
    <row r="11" customFormat="false" ht="15" hidden="false" customHeight="false" outlineLevel="0" collapsed="false">
      <c r="A11" s="10" t="s">
        <v>1418</v>
      </c>
      <c r="B11" s="10" t="s">
        <v>1419</v>
      </c>
      <c r="C11" s="10" t="s">
        <v>1420</v>
      </c>
      <c r="D11" s="10" t="s">
        <v>1421</v>
      </c>
      <c r="E11" s="10" t="s">
        <v>1422</v>
      </c>
      <c r="F11" s="10" t="s">
        <v>1423</v>
      </c>
    </row>
    <row r="12" customFormat="false" ht="15" hidden="false" customHeight="false" outlineLevel="0" collapsed="false">
      <c r="A12" s="10" t="s">
        <v>1424</v>
      </c>
      <c r="B12" s="10" t="s">
        <v>1425</v>
      </c>
      <c r="C12" s="10" t="s">
        <v>1426</v>
      </c>
      <c r="D12" s="10" t="s">
        <v>1427</v>
      </c>
      <c r="E12" s="10" t="s">
        <v>1428</v>
      </c>
      <c r="F12" s="10" t="s">
        <v>1429</v>
      </c>
    </row>
    <row r="13" customFormat="false" ht="15" hidden="false" customHeight="false" outlineLevel="0" collapsed="false">
      <c r="A13" s="10" t="s">
        <v>1430</v>
      </c>
      <c r="B13" s="10" t="s">
        <v>1431</v>
      </c>
      <c r="C13" s="10" t="s">
        <v>1432</v>
      </c>
      <c r="D13" s="10" t="s">
        <v>1433</v>
      </c>
      <c r="E13" s="10" t="s">
        <v>1434</v>
      </c>
      <c r="F13" s="10" t="s">
        <v>1435</v>
      </c>
    </row>
    <row r="14" customFormat="false" ht="15" hidden="false" customHeight="false" outlineLevel="0" collapsed="false">
      <c r="A14" s="10" t="s">
        <v>1436</v>
      </c>
      <c r="B14" s="10" t="s">
        <v>1437</v>
      </c>
      <c r="C14" s="10" t="s">
        <v>1438</v>
      </c>
      <c r="D14" s="10" t="s">
        <v>1439</v>
      </c>
      <c r="E14" s="10" t="s">
        <v>1440</v>
      </c>
      <c r="F14" s="10" t="s">
        <v>1441</v>
      </c>
    </row>
    <row r="15" customFormat="false" ht="15" hidden="false" customHeight="false" outlineLevel="0" collapsed="false">
      <c r="A15" s="10" t="s">
        <v>1442</v>
      </c>
      <c r="B15" s="10" t="s">
        <v>1443</v>
      </c>
      <c r="C15" s="10" t="s">
        <v>1444</v>
      </c>
      <c r="D15" s="10" t="s">
        <v>1445</v>
      </c>
      <c r="E15" s="10" t="s">
        <v>1446</v>
      </c>
      <c r="F15" s="10" t="s">
        <v>1447</v>
      </c>
    </row>
    <row r="16" customFormat="false" ht="15" hidden="false" customHeight="false" outlineLevel="0" collapsed="false">
      <c r="A16" s="10" t="s">
        <v>1448</v>
      </c>
      <c r="B16" s="10" t="s">
        <v>1449</v>
      </c>
      <c r="C16" s="10" t="s">
        <v>1450</v>
      </c>
      <c r="D16" s="10" t="s">
        <v>1451</v>
      </c>
      <c r="E16" s="10" t="s">
        <v>1452</v>
      </c>
      <c r="F16" s="10" t="s">
        <v>1453</v>
      </c>
    </row>
    <row r="17" customFormat="false" ht="23.85" hidden="false" customHeight="false" outlineLevel="0" collapsed="false">
      <c r="A17" s="10" t="s">
        <v>1454</v>
      </c>
      <c r="B17" s="10" t="s">
        <v>1455</v>
      </c>
      <c r="C17" s="10" t="s">
        <v>1456</v>
      </c>
      <c r="D17" s="10" t="s">
        <v>1457</v>
      </c>
      <c r="E17" s="10" t="s">
        <v>1458</v>
      </c>
      <c r="F17" s="10" t="s">
        <v>1459</v>
      </c>
    </row>
    <row r="18" customFormat="false" ht="15" hidden="false" customHeight="false" outlineLevel="0" collapsed="false">
      <c r="A18" s="10" t="s">
        <v>1460</v>
      </c>
      <c r="B18" s="10" t="s">
        <v>1461</v>
      </c>
      <c r="C18" s="10" t="s">
        <v>1462</v>
      </c>
      <c r="D18" s="10" t="s">
        <v>1463</v>
      </c>
      <c r="E18" s="10" t="s">
        <v>1464</v>
      </c>
      <c r="F18" s="10" t="s">
        <v>1465</v>
      </c>
    </row>
    <row r="19" customFormat="false" ht="23.85" hidden="false" customHeight="false" outlineLevel="0" collapsed="false">
      <c r="A19" s="10" t="s">
        <v>1466</v>
      </c>
      <c r="B19" s="10" t="s">
        <v>1467</v>
      </c>
      <c r="C19" s="10" t="s">
        <v>1468</v>
      </c>
      <c r="D19" s="10" t="s">
        <v>1469</v>
      </c>
      <c r="E19" s="10" t="s">
        <v>1470</v>
      </c>
      <c r="F19" s="10" t="s">
        <v>1471</v>
      </c>
    </row>
    <row r="20" customFormat="false" ht="23.85" hidden="false" customHeight="false" outlineLevel="0" collapsed="false">
      <c r="A20" s="10" t="s">
        <v>1472</v>
      </c>
      <c r="B20" s="10" t="s">
        <v>1473</v>
      </c>
      <c r="C20" s="10" t="s">
        <v>1474</v>
      </c>
      <c r="D20" s="10" t="s">
        <v>1475</v>
      </c>
      <c r="E20" s="10" t="s">
        <v>1476</v>
      </c>
      <c r="F20" s="10" t="s">
        <v>1477</v>
      </c>
    </row>
  </sheetData>
  <autoFilter ref="A1:F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50"/>
    <col collapsed="false" customWidth="true" hidden="false" outlineLevel="0" max="8" min="7" style="0" width="30"/>
    <col collapsed="false" customWidth="true" hidden="false" outlineLevel="0" max="9" min="9" style="0" width="16"/>
    <col collapsed="false" customWidth="true" hidden="false" outlineLevel="0" max="11" min="10" style="0" width="12"/>
    <col collapsed="false" customWidth="true" hidden="false" outlineLevel="0" max="12" min="12" style="0" width="30"/>
  </cols>
  <sheetData>
    <row r="1" customFormat="false" ht="30" hidden="false" customHeight="true" outlineLevel="0" collapsed="false">
      <c r="A1" s="9" t="s">
        <v>60</v>
      </c>
      <c r="B1" s="9" t="s">
        <v>1478</v>
      </c>
      <c r="C1" s="9" t="s">
        <v>48</v>
      </c>
      <c r="D1" s="9" t="s">
        <v>41</v>
      </c>
      <c r="E1" s="9" t="s">
        <v>51</v>
      </c>
      <c r="F1" s="9" t="s">
        <v>1479</v>
      </c>
      <c r="G1" s="9" t="s">
        <v>1480</v>
      </c>
      <c r="H1" s="9" t="s">
        <v>1481</v>
      </c>
      <c r="I1" s="9" t="s">
        <v>1482</v>
      </c>
      <c r="J1" s="9" t="s">
        <v>1483</v>
      </c>
      <c r="K1" s="9" t="s">
        <v>57</v>
      </c>
      <c r="L1" s="9" t="s">
        <v>61</v>
      </c>
    </row>
    <row r="2" customFormat="false" ht="15" hidden="false" customHeight="false" outlineLevel="0" collapsed="false">
      <c r="A2" s="11" t="s">
        <v>1484</v>
      </c>
      <c r="B2" s="11" t="s">
        <v>441</v>
      </c>
      <c r="C2" s="11" t="s">
        <v>1485</v>
      </c>
      <c r="D2" s="11" t="s">
        <v>1486</v>
      </c>
      <c r="E2" s="11" t="s">
        <v>68</v>
      </c>
      <c r="F2" s="11" t="s">
        <v>1487</v>
      </c>
      <c r="G2" s="11" t="s">
        <v>1488</v>
      </c>
      <c r="H2" s="11" t="s">
        <v>1489</v>
      </c>
      <c r="I2" s="11" t="s">
        <v>1490</v>
      </c>
      <c r="J2" s="12" t="n">
        <v>46296</v>
      </c>
      <c r="K2" s="11" t="s">
        <v>1491</v>
      </c>
      <c r="L2" s="11" t="s">
        <v>1492</v>
      </c>
    </row>
  </sheetData>
  <autoFilter ref="A1:L2"/>
  <dataValidations count="3">
    <dataValidation allowBlank="true" errorStyle="stop" operator="between" showDropDown="false" showErrorMessage="false" showInputMessage="false" sqref="D2:D500" type="list">
      <formula1>"Critical,High,Medium,Low"</formula1>
      <formula2>0</formula2>
    </dataValidation>
    <dataValidation allowBlank="true" errorStyle="stop" operator="between" showDropDown="false" showErrorMessage="false" showInputMessage="false" sqref="K2:K500" type="list">
      <formula1>"Open,In progress,Fixed,Verified,Won't fix"</formula1>
      <formula2>0</formula2>
    </dataValidation>
    <dataValidation allowBlank="true" errorStyle="stop" operator="between" showDropDown="false" showErrorMessage="false" showInputMessage="false" sqref="E2:E500" type="list">
      <formula1>"Local,Hosted"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2026-09-29T02:06:10Z</dcterms:created>
  <dc:creator>openpyxl</dc:creator>
  <dc:description/>
  <dc:language>en-US</dc:language>
  <cp:lastModifiedBy/>
  <dcterms:modified xsi:type="dcterms:W3CDTF">2026-09-29T02:06:10Z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